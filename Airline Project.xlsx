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seniiahlazyrina/Downloads/"/>
    </mc:Choice>
  </mc:AlternateContent>
  <xr:revisionPtr revIDLastSave="0" documentId="8_{F8A301B5-46B9-884F-BA37-50D97850D757}" xr6:coauthVersionLast="47" xr6:coauthVersionMax="47" xr10:uidLastSave="{00000000-0000-0000-0000-000000000000}"/>
  <bookViews>
    <workbookView xWindow="0" yWindow="0" windowWidth="28800" windowHeight="18000" xr2:uid="{D4876B14-3196-C049-94F2-88196FB8D6B9}"/>
  </bookViews>
  <sheets>
    <sheet name="README" sheetId="7" r:id="rId1"/>
    <sheet name="buybacks" sheetId="1" r:id="rId2"/>
    <sheet name="summary" sheetId="4" r:id="rId3"/>
    <sheet name="leverage_2019" sheetId="6" r:id="rId4"/>
    <sheet name="prices" sheetId="3" r:id="rId5"/>
    <sheet name="current" sheetId="2" r:id="rId6"/>
    <sheet name="assumptions" sheetId="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8" i="1" l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H228" i="1"/>
  <c r="I228" i="1" s="1"/>
  <c r="K228" i="1" s="1"/>
  <c r="H229" i="1"/>
  <c r="I229" i="1" s="1"/>
  <c r="K229" i="1" s="1"/>
  <c r="H230" i="1"/>
  <c r="H231" i="1"/>
  <c r="I231" i="1" s="1"/>
  <c r="K231" i="1" s="1"/>
  <c r="H232" i="1"/>
  <c r="I232" i="1" s="1"/>
  <c r="K232" i="1" s="1"/>
  <c r="H233" i="1"/>
  <c r="H234" i="1"/>
  <c r="I234" i="1" s="1"/>
  <c r="K234" i="1" s="1"/>
  <c r="H235" i="1"/>
  <c r="H236" i="1"/>
  <c r="H237" i="1"/>
  <c r="I237" i="1" s="1"/>
  <c r="K237" i="1" s="1"/>
  <c r="H238" i="1"/>
  <c r="I238" i="1" s="1"/>
  <c r="K238" i="1" s="1"/>
  <c r="H239" i="1"/>
  <c r="I239" i="1" s="1"/>
  <c r="K239" i="1" s="1"/>
  <c r="H240" i="1"/>
  <c r="I240" i="1" s="1"/>
  <c r="K240" i="1" s="1"/>
  <c r="H241" i="1"/>
  <c r="I241" i="1" s="1"/>
  <c r="K241" i="1" s="1"/>
  <c r="H242" i="1"/>
  <c r="I242" i="1" s="1"/>
  <c r="K242" i="1" s="1"/>
  <c r="H243" i="1"/>
  <c r="H244" i="1"/>
  <c r="I244" i="1" s="1"/>
  <c r="K244" i="1" s="1"/>
  <c r="H245" i="1"/>
  <c r="I245" i="1" s="1"/>
  <c r="K245" i="1" s="1"/>
  <c r="H246" i="1"/>
  <c r="I246" i="1" s="1"/>
  <c r="K246" i="1" s="1"/>
  <c r="H247" i="1"/>
  <c r="I247" i="1" s="1"/>
  <c r="K247" i="1" s="1"/>
  <c r="H248" i="1"/>
  <c r="I248" i="1" s="1"/>
  <c r="K248" i="1" s="1"/>
  <c r="H249" i="1"/>
  <c r="I249" i="1" s="1"/>
  <c r="K249" i="1" s="1"/>
  <c r="H250" i="1"/>
  <c r="I250" i="1" s="1"/>
  <c r="K250" i="1" s="1"/>
  <c r="H251" i="1"/>
  <c r="H252" i="1"/>
  <c r="I252" i="1" s="1"/>
  <c r="K252" i="1" s="1"/>
  <c r="H253" i="1"/>
  <c r="I253" i="1" s="1"/>
  <c r="K253" i="1" s="1"/>
  <c r="H254" i="1"/>
  <c r="I254" i="1" s="1"/>
  <c r="K254" i="1" s="1"/>
  <c r="H255" i="1"/>
  <c r="I255" i="1" s="1"/>
  <c r="K255" i="1" s="1"/>
  <c r="H256" i="1"/>
  <c r="I256" i="1" s="1"/>
  <c r="K256" i="1" s="1"/>
  <c r="H257" i="1"/>
  <c r="H258" i="1"/>
  <c r="I258" i="1" s="1"/>
  <c r="K258" i="1" s="1"/>
  <c r="H259" i="1"/>
  <c r="H260" i="1"/>
  <c r="H261" i="1"/>
  <c r="I261" i="1" s="1"/>
  <c r="K261" i="1" s="1"/>
  <c r="H262" i="1"/>
  <c r="I262" i="1" s="1"/>
  <c r="K262" i="1" s="1"/>
  <c r="H263" i="1"/>
  <c r="I263" i="1" s="1"/>
  <c r="K263" i="1" s="1"/>
  <c r="H264" i="1"/>
  <c r="I264" i="1" s="1"/>
  <c r="K264" i="1" s="1"/>
  <c r="H265" i="1"/>
  <c r="I265" i="1" s="1"/>
  <c r="K265" i="1" s="1"/>
  <c r="H266" i="1"/>
  <c r="I266" i="1" s="1"/>
  <c r="K266" i="1" s="1"/>
  <c r="H267" i="1"/>
  <c r="H268" i="1"/>
  <c r="I268" i="1" s="1"/>
  <c r="K268" i="1" s="1"/>
  <c r="H269" i="1"/>
  <c r="I269" i="1" s="1"/>
  <c r="K269" i="1" s="1"/>
  <c r="H270" i="1"/>
  <c r="I270" i="1" s="1"/>
  <c r="K270" i="1" s="1"/>
  <c r="H271" i="1"/>
  <c r="I271" i="1" s="1"/>
  <c r="K271" i="1" s="1"/>
  <c r="H272" i="1"/>
  <c r="I272" i="1" s="1"/>
  <c r="K272" i="1" s="1"/>
  <c r="H273" i="1"/>
  <c r="H274" i="1"/>
  <c r="I274" i="1" s="1"/>
  <c r="K274" i="1" s="1"/>
  <c r="H275" i="1"/>
  <c r="H276" i="1"/>
  <c r="I276" i="1" s="1"/>
  <c r="K276" i="1" s="1"/>
  <c r="H277" i="1"/>
  <c r="I277" i="1" s="1"/>
  <c r="K277" i="1" s="1"/>
  <c r="I230" i="1"/>
  <c r="K230" i="1" s="1"/>
  <c r="I233" i="1"/>
  <c r="K233" i="1" s="1"/>
  <c r="I235" i="1"/>
  <c r="K235" i="1" s="1"/>
  <c r="I236" i="1"/>
  <c r="K236" i="1" s="1"/>
  <c r="I243" i="1"/>
  <c r="K243" i="1" s="1"/>
  <c r="I251" i="1"/>
  <c r="K251" i="1" s="1"/>
  <c r="I257" i="1"/>
  <c r="K257" i="1" s="1"/>
  <c r="I259" i="1"/>
  <c r="K259" i="1" s="1"/>
  <c r="I260" i="1"/>
  <c r="K260" i="1" s="1"/>
  <c r="I267" i="1"/>
  <c r="K267" i="1" s="1"/>
  <c r="I273" i="1"/>
  <c r="K273" i="1" s="1"/>
  <c r="I275" i="1"/>
  <c r="K275" i="1" s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N228" i="1"/>
  <c r="O228" i="1" s="1"/>
  <c r="P228" i="1" s="1"/>
  <c r="Q228" i="1" s="1"/>
  <c r="N229" i="1"/>
  <c r="O229" i="1" s="1"/>
  <c r="P229" i="1" s="1"/>
  <c r="Q229" i="1" s="1"/>
  <c r="N230" i="1"/>
  <c r="O230" i="1" s="1"/>
  <c r="P230" i="1" s="1"/>
  <c r="Q230" i="1" s="1"/>
  <c r="N231" i="1"/>
  <c r="O231" i="1" s="1"/>
  <c r="P231" i="1" s="1"/>
  <c r="Q231" i="1" s="1"/>
  <c r="N232" i="1"/>
  <c r="O232" i="1" s="1"/>
  <c r="P232" i="1" s="1"/>
  <c r="Q232" i="1" s="1"/>
  <c r="N233" i="1"/>
  <c r="O233" i="1" s="1"/>
  <c r="P233" i="1" s="1"/>
  <c r="Q233" i="1" s="1"/>
  <c r="N234" i="1"/>
  <c r="O234" i="1" s="1"/>
  <c r="P234" i="1" s="1"/>
  <c r="Q234" i="1" s="1"/>
  <c r="N235" i="1"/>
  <c r="O235" i="1" s="1"/>
  <c r="P235" i="1" s="1"/>
  <c r="Q235" i="1" s="1"/>
  <c r="N236" i="1"/>
  <c r="O236" i="1" s="1"/>
  <c r="P236" i="1" s="1"/>
  <c r="Q236" i="1" s="1"/>
  <c r="N237" i="1"/>
  <c r="O237" i="1" s="1"/>
  <c r="P237" i="1" s="1"/>
  <c r="Q237" i="1" s="1"/>
  <c r="N238" i="1"/>
  <c r="N239" i="1"/>
  <c r="O239" i="1" s="1"/>
  <c r="P239" i="1" s="1"/>
  <c r="Q239" i="1" s="1"/>
  <c r="N240" i="1"/>
  <c r="O240" i="1" s="1"/>
  <c r="P240" i="1" s="1"/>
  <c r="Q240" i="1" s="1"/>
  <c r="N241" i="1"/>
  <c r="O241" i="1" s="1"/>
  <c r="P241" i="1" s="1"/>
  <c r="Q241" i="1" s="1"/>
  <c r="N242" i="1"/>
  <c r="O242" i="1" s="1"/>
  <c r="P242" i="1" s="1"/>
  <c r="Q242" i="1" s="1"/>
  <c r="N243" i="1"/>
  <c r="O243" i="1" s="1"/>
  <c r="P243" i="1" s="1"/>
  <c r="Q243" i="1" s="1"/>
  <c r="N244" i="1"/>
  <c r="O244" i="1" s="1"/>
  <c r="P244" i="1" s="1"/>
  <c r="Q244" i="1" s="1"/>
  <c r="N245" i="1"/>
  <c r="O245" i="1" s="1"/>
  <c r="P245" i="1" s="1"/>
  <c r="Q245" i="1" s="1"/>
  <c r="N246" i="1"/>
  <c r="O246" i="1" s="1"/>
  <c r="P246" i="1" s="1"/>
  <c r="Q246" i="1" s="1"/>
  <c r="N247" i="1"/>
  <c r="O247" i="1" s="1"/>
  <c r="P247" i="1" s="1"/>
  <c r="Q247" i="1" s="1"/>
  <c r="N248" i="1"/>
  <c r="O248" i="1" s="1"/>
  <c r="P248" i="1" s="1"/>
  <c r="Q248" i="1" s="1"/>
  <c r="N249" i="1"/>
  <c r="O249" i="1" s="1"/>
  <c r="P249" i="1" s="1"/>
  <c r="Q249" i="1" s="1"/>
  <c r="N250" i="1"/>
  <c r="O250" i="1" s="1"/>
  <c r="P250" i="1" s="1"/>
  <c r="Q250" i="1" s="1"/>
  <c r="N251" i="1"/>
  <c r="O251" i="1" s="1"/>
  <c r="P251" i="1" s="1"/>
  <c r="Q251" i="1" s="1"/>
  <c r="N252" i="1"/>
  <c r="O252" i="1" s="1"/>
  <c r="P252" i="1" s="1"/>
  <c r="Q252" i="1" s="1"/>
  <c r="N253" i="1"/>
  <c r="O253" i="1" s="1"/>
  <c r="P253" i="1" s="1"/>
  <c r="Q253" i="1" s="1"/>
  <c r="N254" i="1"/>
  <c r="O254" i="1" s="1"/>
  <c r="P254" i="1" s="1"/>
  <c r="Q254" i="1" s="1"/>
  <c r="N255" i="1"/>
  <c r="O255" i="1" s="1"/>
  <c r="P255" i="1" s="1"/>
  <c r="Q255" i="1" s="1"/>
  <c r="N256" i="1"/>
  <c r="O256" i="1" s="1"/>
  <c r="P256" i="1" s="1"/>
  <c r="Q256" i="1" s="1"/>
  <c r="N257" i="1"/>
  <c r="O257" i="1" s="1"/>
  <c r="P257" i="1" s="1"/>
  <c r="Q257" i="1" s="1"/>
  <c r="N258" i="1"/>
  <c r="O258" i="1" s="1"/>
  <c r="P258" i="1" s="1"/>
  <c r="Q258" i="1" s="1"/>
  <c r="N259" i="1"/>
  <c r="O259" i="1" s="1"/>
  <c r="P259" i="1" s="1"/>
  <c r="Q259" i="1" s="1"/>
  <c r="N260" i="1"/>
  <c r="O260" i="1" s="1"/>
  <c r="P260" i="1" s="1"/>
  <c r="Q260" i="1" s="1"/>
  <c r="N261" i="1"/>
  <c r="O261" i="1" s="1"/>
  <c r="P261" i="1" s="1"/>
  <c r="Q261" i="1" s="1"/>
  <c r="N262" i="1"/>
  <c r="O262" i="1" s="1"/>
  <c r="P262" i="1" s="1"/>
  <c r="Q262" i="1" s="1"/>
  <c r="N263" i="1"/>
  <c r="O263" i="1" s="1"/>
  <c r="P263" i="1" s="1"/>
  <c r="Q263" i="1" s="1"/>
  <c r="N264" i="1"/>
  <c r="O264" i="1" s="1"/>
  <c r="P264" i="1" s="1"/>
  <c r="Q264" i="1" s="1"/>
  <c r="N265" i="1"/>
  <c r="O265" i="1" s="1"/>
  <c r="P265" i="1" s="1"/>
  <c r="Q265" i="1" s="1"/>
  <c r="N266" i="1"/>
  <c r="O266" i="1" s="1"/>
  <c r="P266" i="1" s="1"/>
  <c r="Q266" i="1" s="1"/>
  <c r="N267" i="1"/>
  <c r="O267" i="1" s="1"/>
  <c r="P267" i="1" s="1"/>
  <c r="Q267" i="1" s="1"/>
  <c r="N268" i="1"/>
  <c r="O268" i="1" s="1"/>
  <c r="P268" i="1" s="1"/>
  <c r="Q268" i="1" s="1"/>
  <c r="N269" i="1"/>
  <c r="O269" i="1" s="1"/>
  <c r="P269" i="1" s="1"/>
  <c r="Q269" i="1" s="1"/>
  <c r="N270" i="1"/>
  <c r="O270" i="1" s="1"/>
  <c r="P270" i="1" s="1"/>
  <c r="Q270" i="1" s="1"/>
  <c r="N271" i="1"/>
  <c r="O271" i="1" s="1"/>
  <c r="P271" i="1" s="1"/>
  <c r="Q271" i="1" s="1"/>
  <c r="N272" i="1"/>
  <c r="O272" i="1" s="1"/>
  <c r="P272" i="1" s="1"/>
  <c r="Q272" i="1" s="1"/>
  <c r="N273" i="1"/>
  <c r="O273" i="1" s="1"/>
  <c r="P273" i="1" s="1"/>
  <c r="Q273" i="1" s="1"/>
  <c r="N274" i="1"/>
  <c r="O274" i="1" s="1"/>
  <c r="P274" i="1" s="1"/>
  <c r="Q274" i="1" s="1"/>
  <c r="N275" i="1"/>
  <c r="O275" i="1" s="1"/>
  <c r="P275" i="1" s="1"/>
  <c r="Q275" i="1" s="1"/>
  <c r="N276" i="1"/>
  <c r="O276" i="1" s="1"/>
  <c r="P276" i="1" s="1"/>
  <c r="Q276" i="1" s="1"/>
  <c r="N277" i="1"/>
  <c r="O277" i="1" s="1"/>
  <c r="P277" i="1" s="1"/>
  <c r="Q277" i="1" s="1"/>
  <c r="O238" i="1"/>
  <c r="P238" i="1" s="1"/>
  <c r="Q238" i="1" s="1"/>
  <c r="R228" i="1"/>
  <c r="S228" i="1" s="1"/>
  <c r="R229" i="1"/>
  <c r="S229" i="1" s="1"/>
  <c r="R230" i="1"/>
  <c r="R231" i="1"/>
  <c r="R232" i="1"/>
  <c r="R233" i="1"/>
  <c r="S233" i="1" s="1"/>
  <c r="R234" i="1"/>
  <c r="S234" i="1" s="1"/>
  <c r="R235" i="1"/>
  <c r="S235" i="1" s="1"/>
  <c r="R236" i="1"/>
  <c r="S236" i="1" s="1"/>
  <c r="R237" i="1"/>
  <c r="S237" i="1" s="1"/>
  <c r="R238" i="1"/>
  <c r="S238" i="1" s="1"/>
  <c r="R239" i="1"/>
  <c r="S239" i="1" s="1"/>
  <c r="R240" i="1"/>
  <c r="S240" i="1" s="1"/>
  <c r="R241" i="1"/>
  <c r="S241" i="1" s="1"/>
  <c r="R242" i="1"/>
  <c r="S242" i="1" s="1"/>
  <c r="R243" i="1"/>
  <c r="S243" i="1" s="1"/>
  <c r="R244" i="1"/>
  <c r="S244" i="1" s="1"/>
  <c r="R245" i="1"/>
  <c r="S245" i="1" s="1"/>
  <c r="R246" i="1"/>
  <c r="S246" i="1" s="1"/>
  <c r="R247" i="1"/>
  <c r="S247" i="1" s="1"/>
  <c r="R248" i="1"/>
  <c r="S248" i="1" s="1"/>
  <c r="R249" i="1"/>
  <c r="S249" i="1" s="1"/>
  <c r="R250" i="1"/>
  <c r="S250" i="1" s="1"/>
  <c r="R251" i="1"/>
  <c r="S251" i="1" s="1"/>
  <c r="R252" i="1"/>
  <c r="S252" i="1" s="1"/>
  <c r="R253" i="1"/>
  <c r="S253" i="1" s="1"/>
  <c r="R254" i="1"/>
  <c r="S254" i="1" s="1"/>
  <c r="R255" i="1"/>
  <c r="S255" i="1" s="1"/>
  <c r="R256" i="1"/>
  <c r="S256" i="1" s="1"/>
  <c r="R257" i="1"/>
  <c r="S257" i="1" s="1"/>
  <c r="R258" i="1"/>
  <c r="S258" i="1" s="1"/>
  <c r="R259" i="1"/>
  <c r="S259" i="1" s="1"/>
  <c r="R260" i="1"/>
  <c r="S260" i="1" s="1"/>
  <c r="R261" i="1"/>
  <c r="S261" i="1" s="1"/>
  <c r="R262" i="1"/>
  <c r="S262" i="1" s="1"/>
  <c r="R263" i="1"/>
  <c r="S263" i="1" s="1"/>
  <c r="R264" i="1"/>
  <c r="S264" i="1" s="1"/>
  <c r="R265" i="1"/>
  <c r="S265" i="1" s="1"/>
  <c r="R266" i="1"/>
  <c r="S266" i="1" s="1"/>
  <c r="R267" i="1"/>
  <c r="S267" i="1" s="1"/>
  <c r="R268" i="1"/>
  <c r="S268" i="1" s="1"/>
  <c r="R269" i="1"/>
  <c r="S269" i="1" s="1"/>
  <c r="R270" i="1"/>
  <c r="S270" i="1" s="1"/>
  <c r="R271" i="1"/>
  <c r="S271" i="1" s="1"/>
  <c r="R272" i="1"/>
  <c r="S272" i="1" s="1"/>
  <c r="R273" i="1"/>
  <c r="S273" i="1" s="1"/>
  <c r="R274" i="1"/>
  <c r="S274" i="1" s="1"/>
  <c r="R275" i="1"/>
  <c r="S275" i="1" s="1"/>
  <c r="R276" i="1"/>
  <c r="S276" i="1" s="1"/>
  <c r="R277" i="1"/>
  <c r="S277" i="1" s="1"/>
  <c r="S230" i="1"/>
  <c r="S231" i="1"/>
  <c r="S232" i="1"/>
  <c r="T228" i="1"/>
  <c r="T229" i="1"/>
  <c r="T230" i="1"/>
  <c r="V230" i="1" s="1"/>
  <c r="W230" i="1" s="1"/>
  <c r="X230" i="1" s="1"/>
  <c r="T231" i="1"/>
  <c r="V231" i="1" s="1"/>
  <c r="W231" i="1" s="1"/>
  <c r="X231" i="1" s="1"/>
  <c r="T232" i="1"/>
  <c r="V232" i="1" s="1"/>
  <c r="W232" i="1" s="1"/>
  <c r="X232" i="1" s="1"/>
  <c r="T233" i="1"/>
  <c r="V233" i="1" s="1"/>
  <c r="W233" i="1" s="1"/>
  <c r="X233" i="1" s="1"/>
  <c r="T234" i="1"/>
  <c r="V234" i="1" s="1"/>
  <c r="W234" i="1" s="1"/>
  <c r="X234" i="1" s="1"/>
  <c r="T235" i="1"/>
  <c r="V235" i="1" s="1"/>
  <c r="W235" i="1" s="1"/>
  <c r="X235" i="1" s="1"/>
  <c r="T236" i="1"/>
  <c r="V236" i="1" s="1"/>
  <c r="W236" i="1" s="1"/>
  <c r="X236" i="1" s="1"/>
  <c r="T237" i="1"/>
  <c r="V237" i="1" s="1"/>
  <c r="W237" i="1" s="1"/>
  <c r="X237" i="1" s="1"/>
  <c r="T238" i="1"/>
  <c r="V238" i="1" s="1"/>
  <c r="W238" i="1" s="1"/>
  <c r="X238" i="1" s="1"/>
  <c r="T239" i="1"/>
  <c r="V239" i="1" s="1"/>
  <c r="W239" i="1" s="1"/>
  <c r="X239" i="1" s="1"/>
  <c r="T240" i="1"/>
  <c r="V240" i="1" s="1"/>
  <c r="W240" i="1" s="1"/>
  <c r="X240" i="1" s="1"/>
  <c r="T241" i="1"/>
  <c r="V241" i="1" s="1"/>
  <c r="W241" i="1" s="1"/>
  <c r="X241" i="1" s="1"/>
  <c r="T242" i="1"/>
  <c r="V242" i="1" s="1"/>
  <c r="W242" i="1" s="1"/>
  <c r="X242" i="1" s="1"/>
  <c r="T243" i="1"/>
  <c r="T244" i="1"/>
  <c r="V244" i="1" s="1"/>
  <c r="W244" i="1" s="1"/>
  <c r="X244" i="1" s="1"/>
  <c r="T245" i="1"/>
  <c r="T246" i="1"/>
  <c r="V246" i="1" s="1"/>
  <c r="W246" i="1" s="1"/>
  <c r="X246" i="1" s="1"/>
  <c r="T247" i="1"/>
  <c r="V247" i="1" s="1"/>
  <c r="W247" i="1" s="1"/>
  <c r="X247" i="1" s="1"/>
  <c r="T248" i="1"/>
  <c r="V248" i="1" s="1"/>
  <c r="W248" i="1" s="1"/>
  <c r="X248" i="1" s="1"/>
  <c r="T249" i="1"/>
  <c r="V249" i="1" s="1"/>
  <c r="W249" i="1" s="1"/>
  <c r="X249" i="1" s="1"/>
  <c r="T250" i="1"/>
  <c r="V250" i="1" s="1"/>
  <c r="W250" i="1" s="1"/>
  <c r="X250" i="1" s="1"/>
  <c r="T251" i="1"/>
  <c r="V251" i="1" s="1"/>
  <c r="W251" i="1" s="1"/>
  <c r="X251" i="1" s="1"/>
  <c r="T252" i="1"/>
  <c r="V252" i="1" s="1"/>
  <c r="W252" i="1" s="1"/>
  <c r="X252" i="1" s="1"/>
  <c r="T253" i="1"/>
  <c r="V253" i="1" s="1"/>
  <c r="W253" i="1" s="1"/>
  <c r="X253" i="1" s="1"/>
  <c r="T254" i="1"/>
  <c r="V254" i="1" s="1"/>
  <c r="W254" i="1" s="1"/>
  <c r="X254" i="1" s="1"/>
  <c r="T255" i="1"/>
  <c r="V255" i="1" s="1"/>
  <c r="W255" i="1" s="1"/>
  <c r="X255" i="1" s="1"/>
  <c r="T256" i="1"/>
  <c r="T257" i="1"/>
  <c r="V257" i="1" s="1"/>
  <c r="W257" i="1" s="1"/>
  <c r="X257" i="1" s="1"/>
  <c r="T258" i="1"/>
  <c r="V258" i="1" s="1"/>
  <c r="W258" i="1" s="1"/>
  <c r="X258" i="1" s="1"/>
  <c r="T259" i="1"/>
  <c r="V259" i="1" s="1"/>
  <c r="W259" i="1" s="1"/>
  <c r="X259" i="1" s="1"/>
  <c r="T260" i="1"/>
  <c r="V260" i="1" s="1"/>
  <c r="W260" i="1" s="1"/>
  <c r="X260" i="1" s="1"/>
  <c r="T261" i="1"/>
  <c r="V261" i="1" s="1"/>
  <c r="W261" i="1" s="1"/>
  <c r="X261" i="1" s="1"/>
  <c r="T262" i="1"/>
  <c r="V262" i="1" s="1"/>
  <c r="W262" i="1" s="1"/>
  <c r="X262" i="1" s="1"/>
  <c r="T263" i="1"/>
  <c r="V263" i="1" s="1"/>
  <c r="W263" i="1" s="1"/>
  <c r="X263" i="1" s="1"/>
  <c r="T264" i="1"/>
  <c r="V264" i="1" s="1"/>
  <c r="W264" i="1" s="1"/>
  <c r="X264" i="1" s="1"/>
  <c r="T265" i="1"/>
  <c r="V265" i="1" s="1"/>
  <c r="W265" i="1" s="1"/>
  <c r="X265" i="1" s="1"/>
  <c r="T266" i="1"/>
  <c r="V266" i="1" s="1"/>
  <c r="W266" i="1" s="1"/>
  <c r="X266" i="1" s="1"/>
  <c r="T267" i="1"/>
  <c r="V267" i="1" s="1"/>
  <c r="W267" i="1" s="1"/>
  <c r="X267" i="1" s="1"/>
  <c r="T268" i="1"/>
  <c r="V268" i="1" s="1"/>
  <c r="W268" i="1" s="1"/>
  <c r="X268" i="1" s="1"/>
  <c r="T269" i="1"/>
  <c r="V269" i="1" s="1"/>
  <c r="W269" i="1" s="1"/>
  <c r="X269" i="1" s="1"/>
  <c r="T270" i="1"/>
  <c r="V270" i="1" s="1"/>
  <c r="W270" i="1" s="1"/>
  <c r="X270" i="1" s="1"/>
  <c r="T271" i="1"/>
  <c r="V271" i="1" s="1"/>
  <c r="W271" i="1" s="1"/>
  <c r="X271" i="1" s="1"/>
  <c r="T272" i="1"/>
  <c r="V272" i="1" s="1"/>
  <c r="W272" i="1" s="1"/>
  <c r="X272" i="1" s="1"/>
  <c r="T273" i="1"/>
  <c r="V273" i="1" s="1"/>
  <c r="W273" i="1" s="1"/>
  <c r="X273" i="1" s="1"/>
  <c r="T274" i="1"/>
  <c r="V274" i="1" s="1"/>
  <c r="W274" i="1" s="1"/>
  <c r="X274" i="1" s="1"/>
  <c r="T275" i="1"/>
  <c r="V275" i="1" s="1"/>
  <c r="W275" i="1" s="1"/>
  <c r="X275" i="1" s="1"/>
  <c r="T276" i="1"/>
  <c r="V276" i="1" s="1"/>
  <c r="W276" i="1" s="1"/>
  <c r="X276" i="1" s="1"/>
  <c r="T277" i="1"/>
  <c r="V277" i="1" s="1"/>
  <c r="W277" i="1" s="1"/>
  <c r="X277" i="1" s="1"/>
  <c r="G34" i="1"/>
  <c r="H34" i="1"/>
  <c r="I34" i="1" s="1"/>
  <c r="K34" i="1" s="1"/>
  <c r="J34" i="1"/>
  <c r="M34" i="1"/>
  <c r="N34" i="1"/>
  <c r="O34" i="1" s="1"/>
  <c r="P34" i="1" s="1"/>
  <c r="Q34" i="1" s="1"/>
  <c r="R34" i="1"/>
  <c r="S34" i="1" s="1"/>
  <c r="T34" i="1"/>
  <c r="G35" i="1"/>
  <c r="H35" i="1"/>
  <c r="I35" i="1" s="1"/>
  <c r="K35" i="1" s="1"/>
  <c r="J35" i="1"/>
  <c r="M35" i="1"/>
  <c r="N35" i="1"/>
  <c r="O35" i="1" s="1"/>
  <c r="P35" i="1" s="1"/>
  <c r="Q35" i="1" s="1"/>
  <c r="R35" i="1"/>
  <c r="S35" i="1" s="1"/>
  <c r="T35" i="1"/>
  <c r="G36" i="1"/>
  <c r="H36" i="1"/>
  <c r="I36" i="1" s="1"/>
  <c r="K36" i="1" s="1"/>
  <c r="J36" i="1"/>
  <c r="M36" i="1"/>
  <c r="N36" i="1"/>
  <c r="O36" i="1" s="1"/>
  <c r="P36" i="1" s="1"/>
  <c r="Q36" i="1" s="1"/>
  <c r="R36" i="1"/>
  <c r="S36" i="1" s="1"/>
  <c r="T36" i="1"/>
  <c r="L7" i="6"/>
  <c r="K7" i="6"/>
  <c r="M7" i="6" s="1"/>
  <c r="J7" i="6"/>
  <c r="L6" i="6"/>
  <c r="K6" i="6"/>
  <c r="M6" i="6" s="1"/>
  <c r="J6" i="6"/>
  <c r="L5" i="6"/>
  <c r="K5" i="6"/>
  <c r="M5" i="6" s="1"/>
  <c r="N5" i="6" s="1"/>
  <c r="J5" i="6"/>
  <c r="M4" i="6"/>
  <c r="N4" i="6" s="1"/>
  <c r="L4" i="6"/>
  <c r="K4" i="6"/>
  <c r="J4" i="6"/>
  <c r="L3" i="6"/>
  <c r="K3" i="6"/>
  <c r="J3" i="6"/>
  <c r="L2" i="6"/>
  <c r="K2" i="6"/>
  <c r="M2" i="6" s="1"/>
  <c r="N2" i="6" s="1"/>
  <c r="J2" i="6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V16" i="1" s="1"/>
  <c r="W16" i="1" s="1"/>
  <c r="X16" i="1" s="1"/>
  <c r="T17" i="1"/>
  <c r="V17" i="1" s="1"/>
  <c r="W17" i="1" s="1"/>
  <c r="X17" i="1" s="1"/>
  <c r="T18" i="1"/>
  <c r="T19" i="1"/>
  <c r="T20" i="1"/>
  <c r="T21" i="1"/>
  <c r="T22" i="1"/>
  <c r="T23" i="1"/>
  <c r="T24" i="1"/>
  <c r="V24" i="1" s="1"/>
  <c r="W24" i="1" s="1"/>
  <c r="X24" i="1" s="1"/>
  <c r="T25" i="1"/>
  <c r="V25" i="1" s="1"/>
  <c r="W25" i="1" s="1"/>
  <c r="X25" i="1" s="1"/>
  <c r="T26" i="1"/>
  <c r="T27" i="1"/>
  <c r="V27" i="1" s="1"/>
  <c r="W27" i="1" s="1"/>
  <c r="X27" i="1" s="1"/>
  <c r="T28" i="1"/>
  <c r="V28" i="1" s="1"/>
  <c r="W28" i="1" s="1"/>
  <c r="X28" i="1" s="1"/>
  <c r="T29" i="1"/>
  <c r="T30" i="1"/>
  <c r="V30" i="1" s="1"/>
  <c r="W30" i="1" s="1"/>
  <c r="X30" i="1" s="1"/>
  <c r="T31" i="1"/>
  <c r="V31" i="1" s="1"/>
  <c r="W31" i="1" s="1"/>
  <c r="X31" i="1" s="1"/>
  <c r="T32" i="1"/>
  <c r="V32" i="1" s="1"/>
  <c r="W32" i="1" s="1"/>
  <c r="X32" i="1" s="1"/>
  <c r="T33" i="1"/>
  <c r="T37" i="1"/>
  <c r="T38" i="1"/>
  <c r="T39" i="1"/>
  <c r="T40" i="1"/>
  <c r="V40" i="1" s="1"/>
  <c r="W40" i="1" s="1"/>
  <c r="X40" i="1" s="1"/>
  <c r="T41" i="1"/>
  <c r="V41" i="1" s="1"/>
  <c r="W41" i="1" s="1"/>
  <c r="X41" i="1" s="1"/>
  <c r="T42" i="1"/>
  <c r="V42" i="1" s="1"/>
  <c r="W42" i="1" s="1"/>
  <c r="X42" i="1" s="1"/>
  <c r="T43" i="1"/>
  <c r="T44" i="1"/>
  <c r="T45" i="1"/>
  <c r="T46" i="1"/>
  <c r="T47" i="1"/>
  <c r="T48" i="1"/>
  <c r="T49" i="1"/>
  <c r="T50" i="1"/>
  <c r="T51" i="1"/>
  <c r="T52" i="1"/>
  <c r="T53" i="1"/>
  <c r="V53" i="1" s="1"/>
  <c r="W53" i="1" s="1"/>
  <c r="X53" i="1" s="1"/>
  <c r="T54" i="1"/>
  <c r="T55" i="1"/>
  <c r="V55" i="1" s="1"/>
  <c r="W55" i="1" s="1"/>
  <c r="X55" i="1" s="1"/>
  <c r="T56" i="1"/>
  <c r="V56" i="1" s="1"/>
  <c r="W56" i="1" s="1"/>
  <c r="X56" i="1" s="1"/>
  <c r="T57" i="1"/>
  <c r="V57" i="1" s="1"/>
  <c r="W57" i="1" s="1"/>
  <c r="X57" i="1" s="1"/>
  <c r="T58" i="1"/>
  <c r="V58" i="1" s="1"/>
  <c r="W58" i="1" s="1"/>
  <c r="X58" i="1" s="1"/>
  <c r="T59" i="1"/>
  <c r="V59" i="1" s="1"/>
  <c r="W59" i="1" s="1"/>
  <c r="X59" i="1" s="1"/>
  <c r="T60" i="1"/>
  <c r="V60" i="1" s="1"/>
  <c r="W60" i="1" s="1"/>
  <c r="X60" i="1" s="1"/>
  <c r="T61" i="1"/>
  <c r="V61" i="1" s="1"/>
  <c r="W61" i="1" s="1"/>
  <c r="X61" i="1" s="1"/>
  <c r="T62" i="1"/>
  <c r="V62" i="1" s="1"/>
  <c r="W62" i="1" s="1"/>
  <c r="X62" i="1" s="1"/>
  <c r="T63" i="1"/>
  <c r="V63" i="1" s="1"/>
  <c r="W63" i="1" s="1"/>
  <c r="X63" i="1" s="1"/>
  <c r="T64" i="1"/>
  <c r="V64" i="1" s="1"/>
  <c r="W64" i="1" s="1"/>
  <c r="X64" i="1" s="1"/>
  <c r="T65" i="1"/>
  <c r="V65" i="1" s="1"/>
  <c r="W65" i="1" s="1"/>
  <c r="X65" i="1" s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V101" i="1" s="1"/>
  <c r="W101" i="1" s="1"/>
  <c r="X101" i="1" s="1"/>
  <c r="T102" i="1"/>
  <c r="V102" i="1" s="1"/>
  <c r="W102" i="1" s="1"/>
  <c r="X102" i="1" s="1"/>
  <c r="T103" i="1"/>
  <c r="V103" i="1" s="1"/>
  <c r="W103" i="1" s="1"/>
  <c r="X103" i="1" s="1"/>
  <c r="T104" i="1"/>
  <c r="V104" i="1" s="1"/>
  <c r="W104" i="1" s="1"/>
  <c r="X104" i="1" s="1"/>
  <c r="T105" i="1"/>
  <c r="V105" i="1" s="1"/>
  <c r="W105" i="1" s="1"/>
  <c r="X105" i="1" s="1"/>
  <c r="T106" i="1"/>
  <c r="V106" i="1" s="1"/>
  <c r="W106" i="1" s="1"/>
  <c r="X106" i="1" s="1"/>
  <c r="T107" i="1"/>
  <c r="V107" i="1" s="1"/>
  <c r="W107" i="1" s="1"/>
  <c r="X107" i="1" s="1"/>
  <c r="T108" i="1"/>
  <c r="V108" i="1" s="1"/>
  <c r="W108" i="1" s="1"/>
  <c r="X108" i="1" s="1"/>
  <c r="T109" i="1"/>
  <c r="V109" i="1" s="1"/>
  <c r="W109" i="1" s="1"/>
  <c r="X109" i="1" s="1"/>
  <c r="T110" i="1"/>
  <c r="V110" i="1" s="1"/>
  <c r="W110" i="1" s="1"/>
  <c r="X110" i="1" s="1"/>
  <c r="T111" i="1"/>
  <c r="V111" i="1" s="1"/>
  <c r="W111" i="1" s="1"/>
  <c r="X111" i="1" s="1"/>
  <c r="T112" i="1"/>
  <c r="T113" i="1"/>
  <c r="V113" i="1" s="1"/>
  <c r="W113" i="1" s="1"/>
  <c r="X113" i="1" s="1"/>
  <c r="T114" i="1"/>
  <c r="V114" i="1" s="1"/>
  <c r="W114" i="1" s="1"/>
  <c r="X114" i="1" s="1"/>
  <c r="T115" i="1"/>
  <c r="T116" i="1"/>
  <c r="T117" i="1"/>
  <c r="V117" i="1" s="1"/>
  <c r="W117" i="1" s="1"/>
  <c r="X117" i="1" s="1"/>
  <c r="T118" i="1"/>
  <c r="V118" i="1" s="1"/>
  <c r="W118" i="1" s="1"/>
  <c r="X118" i="1" s="1"/>
  <c r="T119" i="1"/>
  <c r="T120" i="1"/>
  <c r="T121" i="1"/>
  <c r="V121" i="1" s="1"/>
  <c r="W121" i="1" s="1"/>
  <c r="X121" i="1" s="1"/>
  <c r="T122" i="1"/>
  <c r="V122" i="1" s="1"/>
  <c r="W122" i="1" s="1"/>
  <c r="X122" i="1" s="1"/>
  <c r="T123" i="1"/>
  <c r="T124" i="1"/>
  <c r="T125" i="1"/>
  <c r="V125" i="1" s="1"/>
  <c r="W125" i="1" s="1"/>
  <c r="X125" i="1" s="1"/>
  <c r="T126" i="1"/>
  <c r="V126" i="1" s="1"/>
  <c r="W126" i="1" s="1"/>
  <c r="X126" i="1" s="1"/>
  <c r="T127" i="1"/>
  <c r="T128" i="1"/>
  <c r="V128" i="1" s="1"/>
  <c r="W128" i="1" s="1"/>
  <c r="X128" i="1" s="1"/>
  <c r="T129" i="1"/>
  <c r="V129" i="1" s="1"/>
  <c r="W129" i="1" s="1"/>
  <c r="X129" i="1" s="1"/>
  <c r="T130" i="1"/>
  <c r="V130" i="1" s="1"/>
  <c r="W130" i="1" s="1"/>
  <c r="X130" i="1" s="1"/>
  <c r="T131" i="1"/>
  <c r="T132" i="1"/>
  <c r="V132" i="1" s="1"/>
  <c r="W132" i="1" s="1"/>
  <c r="X132" i="1" s="1"/>
  <c r="T133" i="1"/>
  <c r="V133" i="1" s="1"/>
  <c r="W133" i="1" s="1"/>
  <c r="X133" i="1" s="1"/>
  <c r="T134" i="1"/>
  <c r="V134" i="1" s="1"/>
  <c r="W134" i="1" s="1"/>
  <c r="X134" i="1" s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V157" i="1" s="1"/>
  <c r="W157" i="1" s="1"/>
  <c r="X157" i="1" s="1"/>
  <c r="T158" i="1"/>
  <c r="V158" i="1" s="1"/>
  <c r="W158" i="1" s="1"/>
  <c r="X158" i="1" s="1"/>
  <c r="T159" i="1"/>
  <c r="V159" i="1" s="1"/>
  <c r="W159" i="1" s="1"/>
  <c r="X159" i="1" s="1"/>
  <c r="T160" i="1"/>
  <c r="V160" i="1" s="1"/>
  <c r="W160" i="1" s="1"/>
  <c r="X160" i="1" s="1"/>
  <c r="T161" i="1"/>
  <c r="V161" i="1" s="1"/>
  <c r="W161" i="1" s="1"/>
  <c r="X161" i="1" s="1"/>
  <c r="T162" i="1"/>
  <c r="V162" i="1" s="1"/>
  <c r="W162" i="1" s="1"/>
  <c r="X162" i="1" s="1"/>
  <c r="T163" i="1"/>
  <c r="V163" i="1" s="1"/>
  <c r="W163" i="1" s="1"/>
  <c r="X163" i="1" s="1"/>
  <c r="T164" i="1"/>
  <c r="V164" i="1" s="1"/>
  <c r="W164" i="1" s="1"/>
  <c r="X164" i="1" s="1"/>
  <c r="T165" i="1"/>
  <c r="V165" i="1" s="1"/>
  <c r="W165" i="1" s="1"/>
  <c r="X165" i="1" s="1"/>
  <c r="T166" i="1"/>
  <c r="V166" i="1" s="1"/>
  <c r="W166" i="1" s="1"/>
  <c r="X166" i="1" s="1"/>
  <c r="T167" i="1"/>
  <c r="V167" i="1" s="1"/>
  <c r="W167" i="1" s="1"/>
  <c r="X167" i="1" s="1"/>
  <c r="T168" i="1"/>
  <c r="V168" i="1" s="1"/>
  <c r="W168" i="1" s="1"/>
  <c r="X168" i="1" s="1"/>
  <c r="T169" i="1"/>
  <c r="V169" i="1" s="1"/>
  <c r="W169" i="1" s="1"/>
  <c r="X169" i="1" s="1"/>
  <c r="T170" i="1"/>
  <c r="V170" i="1" s="1"/>
  <c r="W170" i="1" s="1"/>
  <c r="X170" i="1" s="1"/>
  <c r="T171" i="1"/>
  <c r="V171" i="1" s="1"/>
  <c r="W171" i="1" s="1"/>
  <c r="X171" i="1" s="1"/>
  <c r="T172" i="1"/>
  <c r="V172" i="1" s="1"/>
  <c r="W172" i="1" s="1"/>
  <c r="X172" i="1" s="1"/>
  <c r="T173" i="1"/>
  <c r="V173" i="1" s="1"/>
  <c r="W173" i="1" s="1"/>
  <c r="X173" i="1" s="1"/>
  <c r="T174" i="1"/>
  <c r="V174" i="1" s="1"/>
  <c r="W174" i="1" s="1"/>
  <c r="X174" i="1" s="1"/>
  <c r="T175" i="1"/>
  <c r="T176" i="1"/>
  <c r="T177" i="1"/>
  <c r="T178" i="1"/>
  <c r="T179" i="1"/>
  <c r="T180" i="1"/>
  <c r="T181" i="1"/>
  <c r="V181" i="1" s="1"/>
  <c r="W181" i="1" s="1"/>
  <c r="X181" i="1" s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V203" i="1" s="1"/>
  <c r="W203" i="1" s="1"/>
  <c r="X203" i="1" s="1"/>
  <c r="T204" i="1"/>
  <c r="V204" i="1" s="1"/>
  <c r="W204" i="1" s="1"/>
  <c r="X204" i="1" s="1"/>
  <c r="T205" i="1"/>
  <c r="V205" i="1" s="1"/>
  <c r="W205" i="1" s="1"/>
  <c r="X205" i="1" s="1"/>
  <c r="T206" i="1"/>
  <c r="V206" i="1" s="1"/>
  <c r="W206" i="1" s="1"/>
  <c r="X206" i="1" s="1"/>
  <c r="T207" i="1"/>
  <c r="V207" i="1" s="1"/>
  <c r="W207" i="1" s="1"/>
  <c r="X207" i="1" s="1"/>
  <c r="T208" i="1"/>
  <c r="V208" i="1" s="1"/>
  <c r="W208" i="1" s="1"/>
  <c r="X208" i="1" s="1"/>
  <c r="T209" i="1"/>
  <c r="V209" i="1" s="1"/>
  <c r="W209" i="1" s="1"/>
  <c r="X209" i="1" s="1"/>
  <c r="T210" i="1"/>
  <c r="V210" i="1" s="1"/>
  <c r="W210" i="1" s="1"/>
  <c r="X210" i="1" s="1"/>
  <c r="T211" i="1"/>
  <c r="V211" i="1" s="1"/>
  <c r="W211" i="1" s="1"/>
  <c r="X211" i="1" s="1"/>
  <c r="T212" i="1"/>
  <c r="V212" i="1" s="1"/>
  <c r="W212" i="1" s="1"/>
  <c r="X212" i="1" s="1"/>
  <c r="T213" i="1"/>
  <c r="V213" i="1" s="1"/>
  <c r="W213" i="1" s="1"/>
  <c r="X213" i="1" s="1"/>
  <c r="T214" i="1"/>
  <c r="V214" i="1" s="1"/>
  <c r="W214" i="1" s="1"/>
  <c r="X214" i="1" s="1"/>
  <c r="T215" i="1"/>
  <c r="V215" i="1" s="1"/>
  <c r="W215" i="1" s="1"/>
  <c r="X215" i="1" s="1"/>
  <c r="T216" i="1"/>
  <c r="V216" i="1" s="1"/>
  <c r="W216" i="1" s="1"/>
  <c r="X216" i="1" s="1"/>
  <c r="T217" i="1"/>
  <c r="V217" i="1" s="1"/>
  <c r="W217" i="1" s="1"/>
  <c r="X217" i="1" s="1"/>
  <c r="T218" i="1"/>
  <c r="V218" i="1" s="1"/>
  <c r="W218" i="1" s="1"/>
  <c r="X218" i="1" s="1"/>
  <c r="T219" i="1"/>
  <c r="V219" i="1" s="1"/>
  <c r="W219" i="1" s="1"/>
  <c r="X219" i="1" s="1"/>
  <c r="T220" i="1"/>
  <c r="T221" i="1"/>
  <c r="T222" i="1"/>
  <c r="T223" i="1"/>
  <c r="T224" i="1"/>
  <c r="T225" i="1"/>
  <c r="T226" i="1"/>
  <c r="T227" i="1"/>
  <c r="V227" i="1" s="1"/>
  <c r="W227" i="1" s="1"/>
  <c r="X227" i="1" s="1"/>
  <c r="R2" i="1"/>
  <c r="S2" i="1" s="1"/>
  <c r="R3" i="1"/>
  <c r="S3" i="1" s="1"/>
  <c r="R4" i="1"/>
  <c r="S4" i="1" s="1"/>
  <c r="R5" i="1"/>
  <c r="S5" i="1" s="1"/>
  <c r="R6" i="1"/>
  <c r="S6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R33" i="1"/>
  <c r="S33" i="1" s="1"/>
  <c r="R37" i="1"/>
  <c r="S37" i="1" s="1"/>
  <c r="R38" i="1"/>
  <c r="S38" i="1" s="1"/>
  <c r="R39" i="1"/>
  <c r="S39" i="1" s="1"/>
  <c r="R40" i="1"/>
  <c r="S40" i="1" s="1"/>
  <c r="R41" i="1"/>
  <c r="S41" i="1" s="1"/>
  <c r="R42" i="1"/>
  <c r="S42" i="1" s="1"/>
  <c r="R43" i="1"/>
  <c r="S43" i="1" s="1"/>
  <c r="R44" i="1"/>
  <c r="S44" i="1" s="1"/>
  <c r="R45" i="1"/>
  <c r="S45" i="1" s="1"/>
  <c r="R46" i="1"/>
  <c r="S46" i="1" s="1"/>
  <c r="R47" i="1"/>
  <c r="S47" i="1" s="1"/>
  <c r="R48" i="1"/>
  <c r="S48" i="1" s="1"/>
  <c r="R49" i="1"/>
  <c r="S49" i="1" s="1"/>
  <c r="R50" i="1"/>
  <c r="S50" i="1" s="1"/>
  <c r="R51" i="1"/>
  <c r="S51" i="1" s="1"/>
  <c r="R52" i="1"/>
  <c r="S52" i="1" s="1"/>
  <c r="R53" i="1"/>
  <c r="S53" i="1" s="1"/>
  <c r="R54" i="1"/>
  <c r="S54" i="1" s="1"/>
  <c r="R55" i="1"/>
  <c r="S55" i="1" s="1"/>
  <c r="R56" i="1"/>
  <c r="S56" i="1" s="1"/>
  <c r="R57" i="1"/>
  <c r="S57" i="1" s="1"/>
  <c r="R58" i="1"/>
  <c r="S58" i="1" s="1"/>
  <c r="R59" i="1"/>
  <c r="S59" i="1" s="1"/>
  <c r="R60" i="1"/>
  <c r="S60" i="1" s="1"/>
  <c r="R61" i="1"/>
  <c r="S61" i="1" s="1"/>
  <c r="R62" i="1"/>
  <c r="S62" i="1" s="1"/>
  <c r="R63" i="1"/>
  <c r="S63" i="1" s="1"/>
  <c r="R64" i="1"/>
  <c r="S64" i="1" s="1"/>
  <c r="R65" i="1"/>
  <c r="S65" i="1" s="1"/>
  <c r="R66" i="1"/>
  <c r="S66" i="1" s="1"/>
  <c r="R67" i="1"/>
  <c r="S67" i="1" s="1"/>
  <c r="R68" i="1"/>
  <c r="S68" i="1" s="1"/>
  <c r="R69" i="1"/>
  <c r="S69" i="1" s="1"/>
  <c r="R70" i="1"/>
  <c r="S70" i="1" s="1"/>
  <c r="R71" i="1"/>
  <c r="S71" i="1" s="1"/>
  <c r="R72" i="1"/>
  <c r="S72" i="1" s="1"/>
  <c r="R73" i="1"/>
  <c r="S73" i="1" s="1"/>
  <c r="R74" i="1"/>
  <c r="S74" i="1" s="1"/>
  <c r="R75" i="1"/>
  <c r="S75" i="1" s="1"/>
  <c r="R76" i="1"/>
  <c r="S76" i="1" s="1"/>
  <c r="R77" i="1"/>
  <c r="S77" i="1" s="1"/>
  <c r="R78" i="1"/>
  <c r="S78" i="1" s="1"/>
  <c r="R79" i="1"/>
  <c r="S79" i="1" s="1"/>
  <c r="R80" i="1"/>
  <c r="S80" i="1" s="1"/>
  <c r="R81" i="1"/>
  <c r="S81" i="1" s="1"/>
  <c r="R82" i="1"/>
  <c r="S82" i="1" s="1"/>
  <c r="R83" i="1"/>
  <c r="S83" i="1" s="1"/>
  <c r="R84" i="1"/>
  <c r="S84" i="1" s="1"/>
  <c r="R85" i="1"/>
  <c r="S85" i="1" s="1"/>
  <c r="R86" i="1"/>
  <c r="S86" i="1" s="1"/>
  <c r="R87" i="1"/>
  <c r="S87" i="1" s="1"/>
  <c r="R88" i="1"/>
  <c r="S88" i="1" s="1"/>
  <c r="R89" i="1"/>
  <c r="S89" i="1" s="1"/>
  <c r="R90" i="1"/>
  <c r="S90" i="1" s="1"/>
  <c r="R91" i="1"/>
  <c r="S91" i="1" s="1"/>
  <c r="R92" i="1"/>
  <c r="S92" i="1" s="1"/>
  <c r="R93" i="1"/>
  <c r="S93" i="1" s="1"/>
  <c r="R94" i="1"/>
  <c r="S94" i="1" s="1"/>
  <c r="R95" i="1"/>
  <c r="S95" i="1" s="1"/>
  <c r="R96" i="1"/>
  <c r="S96" i="1" s="1"/>
  <c r="R97" i="1"/>
  <c r="S97" i="1" s="1"/>
  <c r="R98" i="1"/>
  <c r="S98" i="1" s="1"/>
  <c r="R99" i="1"/>
  <c r="S99" i="1" s="1"/>
  <c r="R100" i="1"/>
  <c r="S100" i="1" s="1"/>
  <c r="R101" i="1"/>
  <c r="S101" i="1" s="1"/>
  <c r="R102" i="1"/>
  <c r="S102" i="1" s="1"/>
  <c r="R103" i="1"/>
  <c r="S103" i="1" s="1"/>
  <c r="R104" i="1"/>
  <c r="S104" i="1" s="1"/>
  <c r="R105" i="1"/>
  <c r="S105" i="1" s="1"/>
  <c r="R106" i="1"/>
  <c r="S106" i="1" s="1"/>
  <c r="R107" i="1"/>
  <c r="S107" i="1" s="1"/>
  <c r="R108" i="1"/>
  <c r="S108" i="1" s="1"/>
  <c r="R109" i="1"/>
  <c r="S109" i="1" s="1"/>
  <c r="R110" i="1"/>
  <c r="S110" i="1" s="1"/>
  <c r="R111" i="1"/>
  <c r="S111" i="1" s="1"/>
  <c r="R112" i="1"/>
  <c r="S112" i="1" s="1"/>
  <c r="R113" i="1"/>
  <c r="S113" i="1" s="1"/>
  <c r="R114" i="1"/>
  <c r="S114" i="1" s="1"/>
  <c r="R115" i="1"/>
  <c r="S115" i="1" s="1"/>
  <c r="R116" i="1"/>
  <c r="S116" i="1" s="1"/>
  <c r="R117" i="1"/>
  <c r="S117" i="1" s="1"/>
  <c r="R118" i="1"/>
  <c r="S118" i="1" s="1"/>
  <c r="R119" i="1"/>
  <c r="S119" i="1" s="1"/>
  <c r="R120" i="1"/>
  <c r="S120" i="1" s="1"/>
  <c r="R121" i="1"/>
  <c r="S121" i="1" s="1"/>
  <c r="R122" i="1"/>
  <c r="S122" i="1" s="1"/>
  <c r="R123" i="1"/>
  <c r="S123" i="1" s="1"/>
  <c r="R124" i="1"/>
  <c r="S124" i="1" s="1"/>
  <c r="R125" i="1"/>
  <c r="S125" i="1" s="1"/>
  <c r="R126" i="1"/>
  <c r="S126" i="1" s="1"/>
  <c r="R127" i="1"/>
  <c r="S127" i="1" s="1"/>
  <c r="R128" i="1"/>
  <c r="S128" i="1" s="1"/>
  <c r="R129" i="1"/>
  <c r="S129" i="1" s="1"/>
  <c r="R130" i="1"/>
  <c r="S130" i="1" s="1"/>
  <c r="R131" i="1"/>
  <c r="S131" i="1" s="1"/>
  <c r="R132" i="1"/>
  <c r="S132" i="1" s="1"/>
  <c r="R133" i="1"/>
  <c r="S133" i="1" s="1"/>
  <c r="R134" i="1"/>
  <c r="S134" i="1" s="1"/>
  <c r="R135" i="1"/>
  <c r="S135" i="1" s="1"/>
  <c r="R136" i="1"/>
  <c r="S136" i="1" s="1"/>
  <c r="R137" i="1"/>
  <c r="S137" i="1" s="1"/>
  <c r="R138" i="1"/>
  <c r="S138" i="1" s="1"/>
  <c r="R139" i="1"/>
  <c r="S139" i="1" s="1"/>
  <c r="R140" i="1"/>
  <c r="S140" i="1" s="1"/>
  <c r="R141" i="1"/>
  <c r="S141" i="1" s="1"/>
  <c r="R142" i="1"/>
  <c r="S142" i="1" s="1"/>
  <c r="R143" i="1"/>
  <c r="S143" i="1" s="1"/>
  <c r="R144" i="1"/>
  <c r="S144" i="1" s="1"/>
  <c r="R145" i="1"/>
  <c r="S145" i="1" s="1"/>
  <c r="R146" i="1"/>
  <c r="S146" i="1" s="1"/>
  <c r="R147" i="1"/>
  <c r="S147" i="1" s="1"/>
  <c r="R148" i="1"/>
  <c r="S148" i="1" s="1"/>
  <c r="R149" i="1"/>
  <c r="S149" i="1" s="1"/>
  <c r="R150" i="1"/>
  <c r="S150" i="1" s="1"/>
  <c r="R151" i="1"/>
  <c r="S151" i="1" s="1"/>
  <c r="R152" i="1"/>
  <c r="S152" i="1" s="1"/>
  <c r="R153" i="1"/>
  <c r="S153" i="1" s="1"/>
  <c r="R154" i="1"/>
  <c r="S154" i="1" s="1"/>
  <c r="R155" i="1"/>
  <c r="S155" i="1" s="1"/>
  <c r="R156" i="1"/>
  <c r="S156" i="1" s="1"/>
  <c r="R157" i="1"/>
  <c r="S157" i="1" s="1"/>
  <c r="R158" i="1"/>
  <c r="S158" i="1" s="1"/>
  <c r="R159" i="1"/>
  <c r="S159" i="1" s="1"/>
  <c r="R160" i="1"/>
  <c r="S160" i="1" s="1"/>
  <c r="R161" i="1"/>
  <c r="S161" i="1" s="1"/>
  <c r="R162" i="1"/>
  <c r="S162" i="1" s="1"/>
  <c r="R163" i="1"/>
  <c r="S163" i="1" s="1"/>
  <c r="R164" i="1"/>
  <c r="S164" i="1" s="1"/>
  <c r="R165" i="1"/>
  <c r="S165" i="1" s="1"/>
  <c r="R166" i="1"/>
  <c r="S166" i="1" s="1"/>
  <c r="R167" i="1"/>
  <c r="S167" i="1" s="1"/>
  <c r="R168" i="1"/>
  <c r="S168" i="1" s="1"/>
  <c r="R169" i="1"/>
  <c r="S169" i="1" s="1"/>
  <c r="R170" i="1"/>
  <c r="S170" i="1" s="1"/>
  <c r="R171" i="1"/>
  <c r="S171" i="1" s="1"/>
  <c r="R172" i="1"/>
  <c r="S172" i="1" s="1"/>
  <c r="R173" i="1"/>
  <c r="S173" i="1" s="1"/>
  <c r="R174" i="1"/>
  <c r="S174" i="1" s="1"/>
  <c r="R175" i="1"/>
  <c r="S175" i="1" s="1"/>
  <c r="R176" i="1"/>
  <c r="S176" i="1" s="1"/>
  <c r="R177" i="1"/>
  <c r="S177" i="1" s="1"/>
  <c r="R178" i="1"/>
  <c r="S178" i="1" s="1"/>
  <c r="R179" i="1"/>
  <c r="S179" i="1" s="1"/>
  <c r="R180" i="1"/>
  <c r="S180" i="1" s="1"/>
  <c r="R181" i="1"/>
  <c r="S181" i="1" s="1"/>
  <c r="R182" i="1"/>
  <c r="S182" i="1" s="1"/>
  <c r="R183" i="1"/>
  <c r="S183" i="1" s="1"/>
  <c r="R184" i="1"/>
  <c r="S184" i="1" s="1"/>
  <c r="R185" i="1"/>
  <c r="S185" i="1" s="1"/>
  <c r="R186" i="1"/>
  <c r="S186" i="1" s="1"/>
  <c r="R187" i="1"/>
  <c r="S187" i="1" s="1"/>
  <c r="R188" i="1"/>
  <c r="S188" i="1" s="1"/>
  <c r="R189" i="1"/>
  <c r="S189" i="1" s="1"/>
  <c r="R190" i="1"/>
  <c r="S190" i="1" s="1"/>
  <c r="R191" i="1"/>
  <c r="S191" i="1" s="1"/>
  <c r="R192" i="1"/>
  <c r="S192" i="1" s="1"/>
  <c r="R193" i="1"/>
  <c r="S193" i="1" s="1"/>
  <c r="R194" i="1"/>
  <c r="S194" i="1" s="1"/>
  <c r="R195" i="1"/>
  <c r="S195" i="1" s="1"/>
  <c r="R196" i="1"/>
  <c r="S196" i="1" s="1"/>
  <c r="R197" i="1"/>
  <c r="S197" i="1" s="1"/>
  <c r="R198" i="1"/>
  <c r="S198" i="1" s="1"/>
  <c r="R199" i="1"/>
  <c r="S199" i="1" s="1"/>
  <c r="R200" i="1"/>
  <c r="S200" i="1" s="1"/>
  <c r="R201" i="1"/>
  <c r="S201" i="1" s="1"/>
  <c r="R202" i="1"/>
  <c r="S202" i="1" s="1"/>
  <c r="R203" i="1"/>
  <c r="S203" i="1" s="1"/>
  <c r="R204" i="1"/>
  <c r="S204" i="1" s="1"/>
  <c r="R205" i="1"/>
  <c r="S205" i="1" s="1"/>
  <c r="R206" i="1"/>
  <c r="S206" i="1" s="1"/>
  <c r="R207" i="1"/>
  <c r="S207" i="1" s="1"/>
  <c r="R208" i="1"/>
  <c r="S208" i="1" s="1"/>
  <c r="R209" i="1"/>
  <c r="S209" i="1" s="1"/>
  <c r="R210" i="1"/>
  <c r="S210" i="1" s="1"/>
  <c r="R211" i="1"/>
  <c r="S211" i="1" s="1"/>
  <c r="R212" i="1"/>
  <c r="S212" i="1" s="1"/>
  <c r="R213" i="1"/>
  <c r="S213" i="1" s="1"/>
  <c r="R214" i="1"/>
  <c r="S214" i="1" s="1"/>
  <c r="R215" i="1"/>
  <c r="S215" i="1" s="1"/>
  <c r="R216" i="1"/>
  <c r="S216" i="1" s="1"/>
  <c r="R217" i="1"/>
  <c r="S217" i="1" s="1"/>
  <c r="R218" i="1"/>
  <c r="S218" i="1" s="1"/>
  <c r="R219" i="1"/>
  <c r="S219" i="1" s="1"/>
  <c r="R220" i="1"/>
  <c r="S220" i="1" s="1"/>
  <c r="R221" i="1"/>
  <c r="S221" i="1" s="1"/>
  <c r="R222" i="1"/>
  <c r="S222" i="1" s="1"/>
  <c r="R223" i="1"/>
  <c r="S223" i="1" s="1"/>
  <c r="R224" i="1"/>
  <c r="S224" i="1" s="1"/>
  <c r="R225" i="1"/>
  <c r="S225" i="1" s="1"/>
  <c r="R226" i="1"/>
  <c r="S226" i="1" s="1"/>
  <c r="R227" i="1"/>
  <c r="S227" i="1" s="1"/>
  <c r="N2" i="1"/>
  <c r="O2" i="1" s="1"/>
  <c r="P2" i="1" s="1"/>
  <c r="Q2" i="1" s="1"/>
  <c r="B5" i="5"/>
  <c r="B4" i="5"/>
  <c r="B3" i="5"/>
  <c r="N3" i="1"/>
  <c r="O3" i="1" s="1"/>
  <c r="P3" i="1" s="1"/>
  <c r="Q3" i="1" s="1"/>
  <c r="N4" i="1"/>
  <c r="O4" i="1" s="1"/>
  <c r="P4" i="1" s="1"/>
  <c r="Q4" i="1" s="1"/>
  <c r="N5" i="1"/>
  <c r="O5" i="1" s="1"/>
  <c r="P5" i="1" s="1"/>
  <c r="Q5" i="1" s="1"/>
  <c r="N6" i="1"/>
  <c r="O6" i="1" s="1"/>
  <c r="P6" i="1" s="1"/>
  <c r="Q6" i="1" s="1"/>
  <c r="N7" i="1"/>
  <c r="O7" i="1" s="1"/>
  <c r="P7" i="1" s="1"/>
  <c r="Q7" i="1" s="1"/>
  <c r="N8" i="1"/>
  <c r="O8" i="1" s="1"/>
  <c r="P8" i="1" s="1"/>
  <c r="Q8" i="1" s="1"/>
  <c r="N9" i="1"/>
  <c r="O9" i="1" s="1"/>
  <c r="P9" i="1" s="1"/>
  <c r="Q9" i="1" s="1"/>
  <c r="N10" i="1"/>
  <c r="O10" i="1" s="1"/>
  <c r="P10" i="1" s="1"/>
  <c r="Q10" i="1" s="1"/>
  <c r="N11" i="1"/>
  <c r="O11" i="1" s="1"/>
  <c r="P11" i="1" s="1"/>
  <c r="Q11" i="1" s="1"/>
  <c r="N12" i="1"/>
  <c r="O12" i="1" s="1"/>
  <c r="P12" i="1" s="1"/>
  <c r="Q12" i="1" s="1"/>
  <c r="N13" i="1"/>
  <c r="O13" i="1" s="1"/>
  <c r="P13" i="1" s="1"/>
  <c r="Q13" i="1" s="1"/>
  <c r="N14" i="1"/>
  <c r="O14" i="1" s="1"/>
  <c r="P14" i="1" s="1"/>
  <c r="Q14" i="1" s="1"/>
  <c r="N15" i="1"/>
  <c r="O15" i="1" s="1"/>
  <c r="P15" i="1" s="1"/>
  <c r="Q15" i="1" s="1"/>
  <c r="N16" i="1"/>
  <c r="O16" i="1" s="1"/>
  <c r="P16" i="1" s="1"/>
  <c r="Q16" i="1" s="1"/>
  <c r="N17" i="1"/>
  <c r="O17" i="1" s="1"/>
  <c r="P17" i="1" s="1"/>
  <c r="Q17" i="1" s="1"/>
  <c r="N18" i="1"/>
  <c r="O18" i="1" s="1"/>
  <c r="P18" i="1" s="1"/>
  <c r="Q18" i="1" s="1"/>
  <c r="N19" i="1"/>
  <c r="O19" i="1" s="1"/>
  <c r="P19" i="1" s="1"/>
  <c r="Q19" i="1" s="1"/>
  <c r="N20" i="1"/>
  <c r="O20" i="1" s="1"/>
  <c r="P20" i="1" s="1"/>
  <c r="Q20" i="1" s="1"/>
  <c r="N21" i="1"/>
  <c r="O21" i="1" s="1"/>
  <c r="P21" i="1" s="1"/>
  <c r="Q21" i="1" s="1"/>
  <c r="N22" i="1"/>
  <c r="O22" i="1" s="1"/>
  <c r="P22" i="1" s="1"/>
  <c r="Q22" i="1" s="1"/>
  <c r="N23" i="1"/>
  <c r="O23" i="1" s="1"/>
  <c r="P23" i="1" s="1"/>
  <c r="Q23" i="1" s="1"/>
  <c r="N24" i="1"/>
  <c r="O24" i="1" s="1"/>
  <c r="P24" i="1" s="1"/>
  <c r="Q24" i="1" s="1"/>
  <c r="N25" i="1"/>
  <c r="O25" i="1" s="1"/>
  <c r="P25" i="1" s="1"/>
  <c r="Q25" i="1" s="1"/>
  <c r="N26" i="1"/>
  <c r="O26" i="1" s="1"/>
  <c r="P26" i="1" s="1"/>
  <c r="Q26" i="1" s="1"/>
  <c r="N27" i="1"/>
  <c r="O27" i="1" s="1"/>
  <c r="P27" i="1" s="1"/>
  <c r="Q27" i="1" s="1"/>
  <c r="N28" i="1"/>
  <c r="O28" i="1" s="1"/>
  <c r="P28" i="1" s="1"/>
  <c r="Q28" i="1" s="1"/>
  <c r="N29" i="1"/>
  <c r="O29" i="1" s="1"/>
  <c r="P29" i="1" s="1"/>
  <c r="Q29" i="1" s="1"/>
  <c r="N30" i="1"/>
  <c r="O30" i="1" s="1"/>
  <c r="P30" i="1" s="1"/>
  <c r="Q30" i="1" s="1"/>
  <c r="N31" i="1"/>
  <c r="O31" i="1" s="1"/>
  <c r="P31" i="1" s="1"/>
  <c r="Q31" i="1" s="1"/>
  <c r="N32" i="1"/>
  <c r="O32" i="1" s="1"/>
  <c r="P32" i="1" s="1"/>
  <c r="Q32" i="1" s="1"/>
  <c r="N33" i="1"/>
  <c r="O33" i="1" s="1"/>
  <c r="P33" i="1" s="1"/>
  <c r="Q33" i="1" s="1"/>
  <c r="N37" i="1"/>
  <c r="O37" i="1" s="1"/>
  <c r="P37" i="1" s="1"/>
  <c r="Q37" i="1" s="1"/>
  <c r="N38" i="1"/>
  <c r="O38" i="1" s="1"/>
  <c r="P38" i="1" s="1"/>
  <c r="Q38" i="1" s="1"/>
  <c r="N39" i="1"/>
  <c r="O39" i="1" s="1"/>
  <c r="P39" i="1" s="1"/>
  <c r="Q39" i="1" s="1"/>
  <c r="N40" i="1"/>
  <c r="O40" i="1" s="1"/>
  <c r="P40" i="1" s="1"/>
  <c r="Q40" i="1" s="1"/>
  <c r="N41" i="1"/>
  <c r="O41" i="1" s="1"/>
  <c r="P41" i="1" s="1"/>
  <c r="Q41" i="1" s="1"/>
  <c r="N42" i="1"/>
  <c r="O42" i="1" s="1"/>
  <c r="P42" i="1" s="1"/>
  <c r="Q42" i="1" s="1"/>
  <c r="N43" i="1"/>
  <c r="O43" i="1" s="1"/>
  <c r="P43" i="1" s="1"/>
  <c r="Q43" i="1" s="1"/>
  <c r="N44" i="1"/>
  <c r="O44" i="1" s="1"/>
  <c r="P44" i="1" s="1"/>
  <c r="Q44" i="1" s="1"/>
  <c r="N45" i="1"/>
  <c r="O45" i="1" s="1"/>
  <c r="P45" i="1" s="1"/>
  <c r="Q45" i="1" s="1"/>
  <c r="N46" i="1"/>
  <c r="O46" i="1" s="1"/>
  <c r="P46" i="1" s="1"/>
  <c r="Q46" i="1" s="1"/>
  <c r="N47" i="1"/>
  <c r="O47" i="1" s="1"/>
  <c r="P47" i="1" s="1"/>
  <c r="Q47" i="1" s="1"/>
  <c r="N48" i="1"/>
  <c r="O48" i="1" s="1"/>
  <c r="P48" i="1" s="1"/>
  <c r="Q48" i="1" s="1"/>
  <c r="N49" i="1"/>
  <c r="O49" i="1" s="1"/>
  <c r="P49" i="1" s="1"/>
  <c r="Q49" i="1" s="1"/>
  <c r="N50" i="1"/>
  <c r="O50" i="1" s="1"/>
  <c r="P50" i="1" s="1"/>
  <c r="Q50" i="1" s="1"/>
  <c r="N51" i="1"/>
  <c r="O51" i="1" s="1"/>
  <c r="P51" i="1" s="1"/>
  <c r="Q51" i="1" s="1"/>
  <c r="N52" i="1"/>
  <c r="O52" i="1" s="1"/>
  <c r="P52" i="1" s="1"/>
  <c r="Q52" i="1" s="1"/>
  <c r="N53" i="1"/>
  <c r="O53" i="1" s="1"/>
  <c r="P53" i="1" s="1"/>
  <c r="Q53" i="1" s="1"/>
  <c r="N54" i="1"/>
  <c r="O54" i="1" s="1"/>
  <c r="P54" i="1" s="1"/>
  <c r="Q54" i="1" s="1"/>
  <c r="N55" i="1"/>
  <c r="O55" i="1" s="1"/>
  <c r="P55" i="1" s="1"/>
  <c r="Q55" i="1" s="1"/>
  <c r="N56" i="1"/>
  <c r="O56" i="1" s="1"/>
  <c r="P56" i="1" s="1"/>
  <c r="Q56" i="1" s="1"/>
  <c r="N57" i="1"/>
  <c r="O57" i="1" s="1"/>
  <c r="P57" i="1" s="1"/>
  <c r="Q57" i="1" s="1"/>
  <c r="N58" i="1"/>
  <c r="O58" i="1" s="1"/>
  <c r="P58" i="1" s="1"/>
  <c r="Q58" i="1" s="1"/>
  <c r="N59" i="1"/>
  <c r="O59" i="1" s="1"/>
  <c r="P59" i="1" s="1"/>
  <c r="Q59" i="1" s="1"/>
  <c r="N60" i="1"/>
  <c r="O60" i="1" s="1"/>
  <c r="P60" i="1" s="1"/>
  <c r="Q60" i="1" s="1"/>
  <c r="N61" i="1"/>
  <c r="O61" i="1" s="1"/>
  <c r="P61" i="1" s="1"/>
  <c r="Q61" i="1" s="1"/>
  <c r="N62" i="1"/>
  <c r="O62" i="1" s="1"/>
  <c r="P62" i="1" s="1"/>
  <c r="Q62" i="1" s="1"/>
  <c r="N63" i="1"/>
  <c r="O63" i="1" s="1"/>
  <c r="P63" i="1" s="1"/>
  <c r="Q63" i="1" s="1"/>
  <c r="N64" i="1"/>
  <c r="O64" i="1" s="1"/>
  <c r="P64" i="1" s="1"/>
  <c r="Q64" i="1" s="1"/>
  <c r="N65" i="1"/>
  <c r="O65" i="1" s="1"/>
  <c r="P65" i="1" s="1"/>
  <c r="Q65" i="1" s="1"/>
  <c r="N66" i="1"/>
  <c r="O66" i="1" s="1"/>
  <c r="P66" i="1" s="1"/>
  <c r="Q66" i="1" s="1"/>
  <c r="N67" i="1"/>
  <c r="O67" i="1" s="1"/>
  <c r="P67" i="1" s="1"/>
  <c r="Q67" i="1" s="1"/>
  <c r="N68" i="1"/>
  <c r="O68" i="1" s="1"/>
  <c r="P68" i="1" s="1"/>
  <c r="Q68" i="1" s="1"/>
  <c r="N69" i="1"/>
  <c r="O69" i="1" s="1"/>
  <c r="P69" i="1" s="1"/>
  <c r="Q69" i="1" s="1"/>
  <c r="N70" i="1"/>
  <c r="O70" i="1" s="1"/>
  <c r="P70" i="1" s="1"/>
  <c r="Q70" i="1" s="1"/>
  <c r="N71" i="1"/>
  <c r="O71" i="1" s="1"/>
  <c r="P71" i="1" s="1"/>
  <c r="Q71" i="1" s="1"/>
  <c r="N72" i="1"/>
  <c r="O72" i="1" s="1"/>
  <c r="P72" i="1" s="1"/>
  <c r="Q72" i="1" s="1"/>
  <c r="N73" i="1"/>
  <c r="O73" i="1" s="1"/>
  <c r="P73" i="1" s="1"/>
  <c r="Q73" i="1" s="1"/>
  <c r="N74" i="1"/>
  <c r="O74" i="1" s="1"/>
  <c r="P74" i="1" s="1"/>
  <c r="Q74" i="1" s="1"/>
  <c r="N75" i="1"/>
  <c r="O75" i="1" s="1"/>
  <c r="P75" i="1" s="1"/>
  <c r="Q75" i="1" s="1"/>
  <c r="N76" i="1"/>
  <c r="O76" i="1" s="1"/>
  <c r="P76" i="1" s="1"/>
  <c r="Q76" i="1" s="1"/>
  <c r="N77" i="1"/>
  <c r="O77" i="1" s="1"/>
  <c r="P77" i="1" s="1"/>
  <c r="Q77" i="1" s="1"/>
  <c r="N78" i="1"/>
  <c r="O78" i="1" s="1"/>
  <c r="P78" i="1" s="1"/>
  <c r="Q78" i="1" s="1"/>
  <c r="N79" i="1"/>
  <c r="O79" i="1" s="1"/>
  <c r="P79" i="1" s="1"/>
  <c r="Q79" i="1" s="1"/>
  <c r="N80" i="1"/>
  <c r="O80" i="1" s="1"/>
  <c r="P80" i="1" s="1"/>
  <c r="Q80" i="1" s="1"/>
  <c r="N81" i="1"/>
  <c r="O81" i="1" s="1"/>
  <c r="P81" i="1" s="1"/>
  <c r="Q81" i="1" s="1"/>
  <c r="N82" i="1"/>
  <c r="O82" i="1" s="1"/>
  <c r="P82" i="1" s="1"/>
  <c r="Q82" i="1" s="1"/>
  <c r="N83" i="1"/>
  <c r="O83" i="1" s="1"/>
  <c r="P83" i="1" s="1"/>
  <c r="Q83" i="1" s="1"/>
  <c r="N84" i="1"/>
  <c r="O84" i="1" s="1"/>
  <c r="P84" i="1" s="1"/>
  <c r="Q84" i="1" s="1"/>
  <c r="N85" i="1"/>
  <c r="O85" i="1" s="1"/>
  <c r="P85" i="1" s="1"/>
  <c r="Q85" i="1" s="1"/>
  <c r="N86" i="1"/>
  <c r="O86" i="1" s="1"/>
  <c r="P86" i="1" s="1"/>
  <c r="Q86" i="1" s="1"/>
  <c r="N87" i="1"/>
  <c r="O87" i="1" s="1"/>
  <c r="P87" i="1" s="1"/>
  <c r="Q87" i="1" s="1"/>
  <c r="N88" i="1"/>
  <c r="O88" i="1" s="1"/>
  <c r="P88" i="1" s="1"/>
  <c r="Q88" i="1" s="1"/>
  <c r="N89" i="1"/>
  <c r="O89" i="1" s="1"/>
  <c r="P89" i="1" s="1"/>
  <c r="Q89" i="1" s="1"/>
  <c r="N90" i="1"/>
  <c r="O90" i="1" s="1"/>
  <c r="P90" i="1" s="1"/>
  <c r="Q90" i="1" s="1"/>
  <c r="N91" i="1"/>
  <c r="O91" i="1" s="1"/>
  <c r="P91" i="1" s="1"/>
  <c r="Q91" i="1" s="1"/>
  <c r="N92" i="1"/>
  <c r="O92" i="1" s="1"/>
  <c r="P92" i="1" s="1"/>
  <c r="Q92" i="1" s="1"/>
  <c r="N93" i="1"/>
  <c r="O93" i="1" s="1"/>
  <c r="P93" i="1" s="1"/>
  <c r="Q93" i="1" s="1"/>
  <c r="N94" i="1"/>
  <c r="O94" i="1" s="1"/>
  <c r="P94" i="1" s="1"/>
  <c r="Q94" i="1" s="1"/>
  <c r="N95" i="1"/>
  <c r="O95" i="1" s="1"/>
  <c r="P95" i="1" s="1"/>
  <c r="Q95" i="1" s="1"/>
  <c r="N96" i="1"/>
  <c r="O96" i="1" s="1"/>
  <c r="P96" i="1" s="1"/>
  <c r="Q96" i="1" s="1"/>
  <c r="N97" i="1"/>
  <c r="O97" i="1" s="1"/>
  <c r="P97" i="1" s="1"/>
  <c r="Q97" i="1" s="1"/>
  <c r="N98" i="1"/>
  <c r="O98" i="1" s="1"/>
  <c r="P98" i="1" s="1"/>
  <c r="Q98" i="1" s="1"/>
  <c r="N99" i="1"/>
  <c r="O99" i="1" s="1"/>
  <c r="P99" i="1" s="1"/>
  <c r="Q99" i="1" s="1"/>
  <c r="N100" i="1"/>
  <c r="O100" i="1" s="1"/>
  <c r="P100" i="1" s="1"/>
  <c r="Q100" i="1" s="1"/>
  <c r="N101" i="1"/>
  <c r="O101" i="1" s="1"/>
  <c r="P101" i="1" s="1"/>
  <c r="Q101" i="1" s="1"/>
  <c r="N102" i="1"/>
  <c r="O102" i="1" s="1"/>
  <c r="P102" i="1" s="1"/>
  <c r="Q102" i="1" s="1"/>
  <c r="N103" i="1"/>
  <c r="O103" i="1" s="1"/>
  <c r="P103" i="1" s="1"/>
  <c r="Q103" i="1" s="1"/>
  <c r="N104" i="1"/>
  <c r="O104" i="1" s="1"/>
  <c r="P104" i="1" s="1"/>
  <c r="Q104" i="1" s="1"/>
  <c r="N105" i="1"/>
  <c r="O105" i="1" s="1"/>
  <c r="P105" i="1" s="1"/>
  <c r="Q105" i="1" s="1"/>
  <c r="N106" i="1"/>
  <c r="O106" i="1" s="1"/>
  <c r="P106" i="1" s="1"/>
  <c r="Q106" i="1" s="1"/>
  <c r="N107" i="1"/>
  <c r="O107" i="1" s="1"/>
  <c r="P107" i="1" s="1"/>
  <c r="Q107" i="1" s="1"/>
  <c r="N108" i="1"/>
  <c r="O108" i="1" s="1"/>
  <c r="P108" i="1" s="1"/>
  <c r="Q108" i="1" s="1"/>
  <c r="N109" i="1"/>
  <c r="O109" i="1" s="1"/>
  <c r="P109" i="1" s="1"/>
  <c r="Q109" i="1" s="1"/>
  <c r="N110" i="1"/>
  <c r="O110" i="1" s="1"/>
  <c r="P110" i="1" s="1"/>
  <c r="Q110" i="1" s="1"/>
  <c r="N111" i="1"/>
  <c r="O111" i="1" s="1"/>
  <c r="P111" i="1" s="1"/>
  <c r="Q111" i="1" s="1"/>
  <c r="N112" i="1"/>
  <c r="O112" i="1" s="1"/>
  <c r="P112" i="1" s="1"/>
  <c r="Q112" i="1" s="1"/>
  <c r="N113" i="1"/>
  <c r="O113" i="1" s="1"/>
  <c r="P113" i="1" s="1"/>
  <c r="Q113" i="1" s="1"/>
  <c r="N114" i="1"/>
  <c r="O114" i="1" s="1"/>
  <c r="P114" i="1" s="1"/>
  <c r="Q114" i="1" s="1"/>
  <c r="N115" i="1"/>
  <c r="O115" i="1" s="1"/>
  <c r="P115" i="1" s="1"/>
  <c r="Q115" i="1" s="1"/>
  <c r="N116" i="1"/>
  <c r="O116" i="1" s="1"/>
  <c r="P116" i="1" s="1"/>
  <c r="Q116" i="1" s="1"/>
  <c r="N117" i="1"/>
  <c r="O117" i="1" s="1"/>
  <c r="P117" i="1" s="1"/>
  <c r="Q117" i="1" s="1"/>
  <c r="N118" i="1"/>
  <c r="O118" i="1" s="1"/>
  <c r="P118" i="1" s="1"/>
  <c r="Q118" i="1" s="1"/>
  <c r="N119" i="1"/>
  <c r="O119" i="1" s="1"/>
  <c r="P119" i="1" s="1"/>
  <c r="Q119" i="1" s="1"/>
  <c r="N120" i="1"/>
  <c r="O120" i="1" s="1"/>
  <c r="P120" i="1" s="1"/>
  <c r="Q120" i="1" s="1"/>
  <c r="N121" i="1"/>
  <c r="O121" i="1" s="1"/>
  <c r="P121" i="1" s="1"/>
  <c r="Q121" i="1" s="1"/>
  <c r="N122" i="1"/>
  <c r="O122" i="1" s="1"/>
  <c r="P122" i="1" s="1"/>
  <c r="Q122" i="1" s="1"/>
  <c r="N123" i="1"/>
  <c r="O123" i="1" s="1"/>
  <c r="P123" i="1" s="1"/>
  <c r="Q123" i="1" s="1"/>
  <c r="N124" i="1"/>
  <c r="O124" i="1" s="1"/>
  <c r="P124" i="1" s="1"/>
  <c r="Q124" i="1" s="1"/>
  <c r="N125" i="1"/>
  <c r="O125" i="1" s="1"/>
  <c r="P125" i="1" s="1"/>
  <c r="Q125" i="1" s="1"/>
  <c r="N126" i="1"/>
  <c r="O126" i="1" s="1"/>
  <c r="P126" i="1" s="1"/>
  <c r="Q126" i="1" s="1"/>
  <c r="N127" i="1"/>
  <c r="O127" i="1" s="1"/>
  <c r="P127" i="1" s="1"/>
  <c r="Q127" i="1" s="1"/>
  <c r="N128" i="1"/>
  <c r="O128" i="1" s="1"/>
  <c r="P128" i="1" s="1"/>
  <c r="Q128" i="1" s="1"/>
  <c r="N129" i="1"/>
  <c r="O129" i="1" s="1"/>
  <c r="P129" i="1" s="1"/>
  <c r="Q129" i="1" s="1"/>
  <c r="N130" i="1"/>
  <c r="O130" i="1" s="1"/>
  <c r="P130" i="1" s="1"/>
  <c r="Q130" i="1" s="1"/>
  <c r="N131" i="1"/>
  <c r="O131" i="1" s="1"/>
  <c r="P131" i="1" s="1"/>
  <c r="Q131" i="1" s="1"/>
  <c r="N132" i="1"/>
  <c r="O132" i="1" s="1"/>
  <c r="P132" i="1" s="1"/>
  <c r="Q132" i="1" s="1"/>
  <c r="N133" i="1"/>
  <c r="O133" i="1" s="1"/>
  <c r="P133" i="1" s="1"/>
  <c r="Q133" i="1" s="1"/>
  <c r="N134" i="1"/>
  <c r="O134" i="1" s="1"/>
  <c r="P134" i="1" s="1"/>
  <c r="Q134" i="1" s="1"/>
  <c r="N135" i="1"/>
  <c r="O135" i="1" s="1"/>
  <c r="P135" i="1" s="1"/>
  <c r="Q135" i="1" s="1"/>
  <c r="N136" i="1"/>
  <c r="O136" i="1" s="1"/>
  <c r="P136" i="1" s="1"/>
  <c r="Q136" i="1" s="1"/>
  <c r="N137" i="1"/>
  <c r="O137" i="1" s="1"/>
  <c r="P137" i="1" s="1"/>
  <c r="Q137" i="1" s="1"/>
  <c r="N138" i="1"/>
  <c r="O138" i="1" s="1"/>
  <c r="P138" i="1" s="1"/>
  <c r="Q138" i="1" s="1"/>
  <c r="N139" i="1"/>
  <c r="O139" i="1" s="1"/>
  <c r="P139" i="1" s="1"/>
  <c r="Q139" i="1" s="1"/>
  <c r="N140" i="1"/>
  <c r="O140" i="1" s="1"/>
  <c r="P140" i="1" s="1"/>
  <c r="Q140" i="1" s="1"/>
  <c r="N141" i="1"/>
  <c r="O141" i="1" s="1"/>
  <c r="P141" i="1" s="1"/>
  <c r="Q141" i="1" s="1"/>
  <c r="N142" i="1"/>
  <c r="O142" i="1" s="1"/>
  <c r="P142" i="1" s="1"/>
  <c r="Q142" i="1" s="1"/>
  <c r="N143" i="1"/>
  <c r="O143" i="1" s="1"/>
  <c r="P143" i="1" s="1"/>
  <c r="Q143" i="1" s="1"/>
  <c r="N144" i="1"/>
  <c r="O144" i="1" s="1"/>
  <c r="P144" i="1" s="1"/>
  <c r="Q144" i="1" s="1"/>
  <c r="N145" i="1"/>
  <c r="O145" i="1" s="1"/>
  <c r="P145" i="1" s="1"/>
  <c r="Q145" i="1" s="1"/>
  <c r="N146" i="1"/>
  <c r="O146" i="1" s="1"/>
  <c r="P146" i="1" s="1"/>
  <c r="Q146" i="1" s="1"/>
  <c r="N147" i="1"/>
  <c r="O147" i="1" s="1"/>
  <c r="P147" i="1" s="1"/>
  <c r="Q147" i="1" s="1"/>
  <c r="N148" i="1"/>
  <c r="O148" i="1" s="1"/>
  <c r="P148" i="1" s="1"/>
  <c r="Q148" i="1" s="1"/>
  <c r="N149" i="1"/>
  <c r="O149" i="1" s="1"/>
  <c r="P149" i="1" s="1"/>
  <c r="Q149" i="1" s="1"/>
  <c r="N150" i="1"/>
  <c r="O150" i="1" s="1"/>
  <c r="P150" i="1" s="1"/>
  <c r="Q150" i="1" s="1"/>
  <c r="N151" i="1"/>
  <c r="O151" i="1" s="1"/>
  <c r="P151" i="1" s="1"/>
  <c r="Q151" i="1" s="1"/>
  <c r="N152" i="1"/>
  <c r="O152" i="1" s="1"/>
  <c r="P152" i="1" s="1"/>
  <c r="Q152" i="1" s="1"/>
  <c r="N153" i="1"/>
  <c r="O153" i="1" s="1"/>
  <c r="P153" i="1" s="1"/>
  <c r="Q153" i="1" s="1"/>
  <c r="N154" i="1"/>
  <c r="O154" i="1" s="1"/>
  <c r="P154" i="1" s="1"/>
  <c r="Q154" i="1" s="1"/>
  <c r="N155" i="1"/>
  <c r="O155" i="1" s="1"/>
  <c r="P155" i="1" s="1"/>
  <c r="Q155" i="1" s="1"/>
  <c r="N156" i="1"/>
  <c r="O156" i="1" s="1"/>
  <c r="P156" i="1" s="1"/>
  <c r="Q156" i="1" s="1"/>
  <c r="N157" i="1"/>
  <c r="O157" i="1" s="1"/>
  <c r="P157" i="1" s="1"/>
  <c r="Q157" i="1" s="1"/>
  <c r="N158" i="1"/>
  <c r="O158" i="1" s="1"/>
  <c r="P158" i="1" s="1"/>
  <c r="Q158" i="1" s="1"/>
  <c r="N159" i="1"/>
  <c r="O159" i="1" s="1"/>
  <c r="P159" i="1" s="1"/>
  <c r="Q159" i="1" s="1"/>
  <c r="N160" i="1"/>
  <c r="O160" i="1" s="1"/>
  <c r="P160" i="1" s="1"/>
  <c r="Q160" i="1" s="1"/>
  <c r="N161" i="1"/>
  <c r="O161" i="1" s="1"/>
  <c r="P161" i="1" s="1"/>
  <c r="Q161" i="1" s="1"/>
  <c r="N162" i="1"/>
  <c r="O162" i="1" s="1"/>
  <c r="P162" i="1" s="1"/>
  <c r="Q162" i="1" s="1"/>
  <c r="N163" i="1"/>
  <c r="O163" i="1" s="1"/>
  <c r="P163" i="1" s="1"/>
  <c r="Q163" i="1" s="1"/>
  <c r="N164" i="1"/>
  <c r="O164" i="1" s="1"/>
  <c r="P164" i="1" s="1"/>
  <c r="Q164" i="1" s="1"/>
  <c r="N165" i="1"/>
  <c r="O165" i="1" s="1"/>
  <c r="P165" i="1" s="1"/>
  <c r="Q165" i="1" s="1"/>
  <c r="N166" i="1"/>
  <c r="O166" i="1" s="1"/>
  <c r="P166" i="1" s="1"/>
  <c r="Q166" i="1" s="1"/>
  <c r="N167" i="1"/>
  <c r="O167" i="1" s="1"/>
  <c r="P167" i="1" s="1"/>
  <c r="Q167" i="1" s="1"/>
  <c r="N168" i="1"/>
  <c r="O168" i="1" s="1"/>
  <c r="P168" i="1" s="1"/>
  <c r="Q168" i="1" s="1"/>
  <c r="N169" i="1"/>
  <c r="O169" i="1" s="1"/>
  <c r="P169" i="1" s="1"/>
  <c r="Q169" i="1" s="1"/>
  <c r="N170" i="1"/>
  <c r="O170" i="1" s="1"/>
  <c r="P170" i="1" s="1"/>
  <c r="Q170" i="1" s="1"/>
  <c r="N171" i="1"/>
  <c r="O171" i="1" s="1"/>
  <c r="P171" i="1" s="1"/>
  <c r="Q171" i="1" s="1"/>
  <c r="N172" i="1"/>
  <c r="O172" i="1" s="1"/>
  <c r="P172" i="1" s="1"/>
  <c r="Q172" i="1" s="1"/>
  <c r="N173" i="1"/>
  <c r="O173" i="1" s="1"/>
  <c r="P173" i="1" s="1"/>
  <c r="Q173" i="1" s="1"/>
  <c r="N174" i="1"/>
  <c r="O174" i="1" s="1"/>
  <c r="P174" i="1" s="1"/>
  <c r="Q174" i="1" s="1"/>
  <c r="N175" i="1"/>
  <c r="O175" i="1" s="1"/>
  <c r="P175" i="1" s="1"/>
  <c r="Q175" i="1" s="1"/>
  <c r="N176" i="1"/>
  <c r="O176" i="1" s="1"/>
  <c r="P176" i="1" s="1"/>
  <c r="Q176" i="1" s="1"/>
  <c r="N177" i="1"/>
  <c r="O177" i="1" s="1"/>
  <c r="P177" i="1" s="1"/>
  <c r="Q177" i="1" s="1"/>
  <c r="N178" i="1"/>
  <c r="O178" i="1" s="1"/>
  <c r="P178" i="1" s="1"/>
  <c r="Q178" i="1" s="1"/>
  <c r="N179" i="1"/>
  <c r="O179" i="1" s="1"/>
  <c r="P179" i="1" s="1"/>
  <c r="Q179" i="1" s="1"/>
  <c r="N180" i="1"/>
  <c r="O180" i="1" s="1"/>
  <c r="P180" i="1" s="1"/>
  <c r="Q180" i="1" s="1"/>
  <c r="N181" i="1"/>
  <c r="O181" i="1" s="1"/>
  <c r="P181" i="1" s="1"/>
  <c r="Q181" i="1" s="1"/>
  <c r="N182" i="1"/>
  <c r="O182" i="1" s="1"/>
  <c r="P182" i="1" s="1"/>
  <c r="Q182" i="1" s="1"/>
  <c r="N183" i="1"/>
  <c r="O183" i="1" s="1"/>
  <c r="P183" i="1" s="1"/>
  <c r="Q183" i="1" s="1"/>
  <c r="N184" i="1"/>
  <c r="O184" i="1" s="1"/>
  <c r="P184" i="1" s="1"/>
  <c r="Q184" i="1" s="1"/>
  <c r="N185" i="1"/>
  <c r="O185" i="1" s="1"/>
  <c r="P185" i="1" s="1"/>
  <c r="Q185" i="1" s="1"/>
  <c r="N186" i="1"/>
  <c r="O186" i="1" s="1"/>
  <c r="P186" i="1" s="1"/>
  <c r="Q186" i="1" s="1"/>
  <c r="N187" i="1"/>
  <c r="O187" i="1" s="1"/>
  <c r="P187" i="1" s="1"/>
  <c r="Q187" i="1" s="1"/>
  <c r="N188" i="1"/>
  <c r="O188" i="1" s="1"/>
  <c r="P188" i="1" s="1"/>
  <c r="Q188" i="1" s="1"/>
  <c r="N189" i="1"/>
  <c r="O189" i="1" s="1"/>
  <c r="P189" i="1" s="1"/>
  <c r="Q189" i="1" s="1"/>
  <c r="N190" i="1"/>
  <c r="O190" i="1" s="1"/>
  <c r="P190" i="1" s="1"/>
  <c r="Q190" i="1" s="1"/>
  <c r="N191" i="1"/>
  <c r="O191" i="1" s="1"/>
  <c r="P191" i="1" s="1"/>
  <c r="Q191" i="1" s="1"/>
  <c r="N192" i="1"/>
  <c r="O192" i="1" s="1"/>
  <c r="P192" i="1" s="1"/>
  <c r="Q192" i="1" s="1"/>
  <c r="N193" i="1"/>
  <c r="O193" i="1" s="1"/>
  <c r="P193" i="1" s="1"/>
  <c r="Q193" i="1" s="1"/>
  <c r="N194" i="1"/>
  <c r="O194" i="1" s="1"/>
  <c r="P194" i="1" s="1"/>
  <c r="Q194" i="1" s="1"/>
  <c r="N195" i="1"/>
  <c r="O195" i="1" s="1"/>
  <c r="P195" i="1" s="1"/>
  <c r="Q195" i="1" s="1"/>
  <c r="N196" i="1"/>
  <c r="O196" i="1" s="1"/>
  <c r="P196" i="1" s="1"/>
  <c r="Q196" i="1" s="1"/>
  <c r="N197" i="1"/>
  <c r="O197" i="1" s="1"/>
  <c r="P197" i="1" s="1"/>
  <c r="Q197" i="1" s="1"/>
  <c r="N198" i="1"/>
  <c r="O198" i="1" s="1"/>
  <c r="P198" i="1" s="1"/>
  <c r="Q198" i="1" s="1"/>
  <c r="N199" i="1"/>
  <c r="O199" i="1" s="1"/>
  <c r="P199" i="1" s="1"/>
  <c r="Q199" i="1" s="1"/>
  <c r="N200" i="1"/>
  <c r="O200" i="1" s="1"/>
  <c r="P200" i="1" s="1"/>
  <c r="Q200" i="1" s="1"/>
  <c r="N201" i="1"/>
  <c r="O201" i="1" s="1"/>
  <c r="P201" i="1" s="1"/>
  <c r="Q201" i="1" s="1"/>
  <c r="N202" i="1"/>
  <c r="O202" i="1" s="1"/>
  <c r="P202" i="1" s="1"/>
  <c r="Q202" i="1" s="1"/>
  <c r="N203" i="1"/>
  <c r="O203" i="1" s="1"/>
  <c r="P203" i="1" s="1"/>
  <c r="Q203" i="1" s="1"/>
  <c r="N204" i="1"/>
  <c r="O204" i="1" s="1"/>
  <c r="P204" i="1" s="1"/>
  <c r="Q204" i="1" s="1"/>
  <c r="N205" i="1"/>
  <c r="O205" i="1" s="1"/>
  <c r="P205" i="1" s="1"/>
  <c r="Q205" i="1" s="1"/>
  <c r="N206" i="1"/>
  <c r="O206" i="1" s="1"/>
  <c r="P206" i="1" s="1"/>
  <c r="Q206" i="1" s="1"/>
  <c r="N207" i="1"/>
  <c r="O207" i="1" s="1"/>
  <c r="P207" i="1" s="1"/>
  <c r="Q207" i="1" s="1"/>
  <c r="N208" i="1"/>
  <c r="O208" i="1" s="1"/>
  <c r="P208" i="1" s="1"/>
  <c r="Q208" i="1" s="1"/>
  <c r="N209" i="1"/>
  <c r="O209" i="1" s="1"/>
  <c r="P209" i="1" s="1"/>
  <c r="Q209" i="1" s="1"/>
  <c r="N210" i="1"/>
  <c r="O210" i="1" s="1"/>
  <c r="P210" i="1" s="1"/>
  <c r="Q210" i="1" s="1"/>
  <c r="N211" i="1"/>
  <c r="O211" i="1" s="1"/>
  <c r="P211" i="1" s="1"/>
  <c r="Q211" i="1" s="1"/>
  <c r="N212" i="1"/>
  <c r="O212" i="1" s="1"/>
  <c r="P212" i="1" s="1"/>
  <c r="Q212" i="1" s="1"/>
  <c r="N213" i="1"/>
  <c r="O213" i="1" s="1"/>
  <c r="P213" i="1" s="1"/>
  <c r="Q213" i="1" s="1"/>
  <c r="N214" i="1"/>
  <c r="O214" i="1" s="1"/>
  <c r="P214" i="1" s="1"/>
  <c r="Q214" i="1" s="1"/>
  <c r="N215" i="1"/>
  <c r="O215" i="1" s="1"/>
  <c r="P215" i="1" s="1"/>
  <c r="Q215" i="1" s="1"/>
  <c r="N216" i="1"/>
  <c r="O216" i="1" s="1"/>
  <c r="P216" i="1" s="1"/>
  <c r="Q216" i="1" s="1"/>
  <c r="N217" i="1"/>
  <c r="O217" i="1" s="1"/>
  <c r="P217" i="1" s="1"/>
  <c r="Q217" i="1" s="1"/>
  <c r="N218" i="1"/>
  <c r="O218" i="1" s="1"/>
  <c r="P218" i="1" s="1"/>
  <c r="Q218" i="1" s="1"/>
  <c r="N219" i="1"/>
  <c r="O219" i="1" s="1"/>
  <c r="P219" i="1" s="1"/>
  <c r="Q219" i="1" s="1"/>
  <c r="N220" i="1"/>
  <c r="O220" i="1" s="1"/>
  <c r="P220" i="1" s="1"/>
  <c r="Q220" i="1" s="1"/>
  <c r="N221" i="1"/>
  <c r="O221" i="1" s="1"/>
  <c r="P221" i="1" s="1"/>
  <c r="Q221" i="1" s="1"/>
  <c r="N222" i="1"/>
  <c r="O222" i="1" s="1"/>
  <c r="P222" i="1" s="1"/>
  <c r="Q222" i="1" s="1"/>
  <c r="N223" i="1"/>
  <c r="O223" i="1" s="1"/>
  <c r="P223" i="1" s="1"/>
  <c r="Q223" i="1" s="1"/>
  <c r="N224" i="1"/>
  <c r="O224" i="1" s="1"/>
  <c r="P224" i="1" s="1"/>
  <c r="Q224" i="1" s="1"/>
  <c r="N225" i="1"/>
  <c r="O225" i="1" s="1"/>
  <c r="P225" i="1" s="1"/>
  <c r="Q225" i="1" s="1"/>
  <c r="N226" i="1"/>
  <c r="O226" i="1" s="1"/>
  <c r="P226" i="1" s="1"/>
  <c r="Q226" i="1" s="1"/>
  <c r="N227" i="1"/>
  <c r="O227" i="1" s="1"/>
  <c r="P227" i="1" s="1"/>
  <c r="Q227" i="1" s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B3" i="4"/>
  <c r="B4" i="4"/>
  <c r="B5" i="4"/>
  <c r="B6" i="4"/>
  <c r="B7" i="4"/>
  <c r="B2" i="4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H2" i="1"/>
  <c r="I2" i="1" s="1"/>
  <c r="K2" i="1" s="1"/>
  <c r="H3" i="1"/>
  <c r="I3" i="1" s="1"/>
  <c r="K3" i="1" s="1"/>
  <c r="H4" i="1"/>
  <c r="I4" i="1" s="1"/>
  <c r="K4" i="1" s="1"/>
  <c r="H5" i="1"/>
  <c r="I5" i="1" s="1"/>
  <c r="K5" i="1" s="1"/>
  <c r="H6" i="1"/>
  <c r="I6" i="1" s="1"/>
  <c r="K6" i="1" s="1"/>
  <c r="H7" i="1"/>
  <c r="I7" i="1" s="1"/>
  <c r="K7" i="1" s="1"/>
  <c r="H8" i="1"/>
  <c r="I8" i="1" s="1"/>
  <c r="K8" i="1" s="1"/>
  <c r="H9" i="1"/>
  <c r="I9" i="1" s="1"/>
  <c r="K9" i="1" s="1"/>
  <c r="H10" i="1"/>
  <c r="I10" i="1" s="1"/>
  <c r="K10" i="1" s="1"/>
  <c r="H11" i="1"/>
  <c r="I11" i="1" s="1"/>
  <c r="K11" i="1" s="1"/>
  <c r="H12" i="1"/>
  <c r="I12" i="1" s="1"/>
  <c r="K12" i="1" s="1"/>
  <c r="H13" i="1"/>
  <c r="I13" i="1" s="1"/>
  <c r="K13" i="1" s="1"/>
  <c r="H14" i="1"/>
  <c r="I14" i="1" s="1"/>
  <c r="K14" i="1" s="1"/>
  <c r="H15" i="1"/>
  <c r="I15" i="1" s="1"/>
  <c r="K15" i="1" s="1"/>
  <c r="H16" i="1"/>
  <c r="I16" i="1" s="1"/>
  <c r="K16" i="1" s="1"/>
  <c r="H17" i="1"/>
  <c r="I17" i="1" s="1"/>
  <c r="K17" i="1" s="1"/>
  <c r="H18" i="1"/>
  <c r="I18" i="1" s="1"/>
  <c r="K18" i="1" s="1"/>
  <c r="H19" i="1"/>
  <c r="I19" i="1" s="1"/>
  <c r="K19" i="1" s="1"/>
  <c r="H20" i="1"/>
  <c r="I20" i="1" s="1"/>
  <c r="K20" i="1" s="1"/>
  <c r="H21" i="1"/>
  <c r="I21" i="1" s="1"/>
  <c r="K21" i="1" s="1"/>
  <c r="H22" i="1"/>
  <c r="I22" i="1" s="1"/>
  <c r="K22" i="1" s="1"/>
  <c r="H23" i="1"/>
  <c r="I23" i="1" s="1"/>
  <c r="K23" i="1" s="1"/>
  <c r="H24" i="1"/>
  <c r="I24" i="1" s="1"/>
  <c r="K24" i="1" s="1"/>
  <c r="H25" i="1"/>
  <c r="I25" i="1" s="1"/>
  <c r="K25" i="1" s="1"/>
  <c r="H26" i="1"/>
  <c r="I26" i="1" s="1"/>
  <c r="K26" i="1" s="1"/>
  <c r="H27" i="1"/>
  <c r="I27" i="1" s="1"/>
  <c r="K27" i="1" s="1"/>
  <c r="H28" i="1"/>
  <c r="I28" i="1" s="1"/>
  <c r="K28" i="1" s="1"/>
  <c r="H29" i="1"/>
  <c r="I29" i="1" s="1"/>
  <c r="K29" i="1" s="1"/>
  <c r="H30" i="1"/>
  <c r="I30" i="1" s="1"/>
  <c r="K30" i="1" s="1"/>
  <c r="H31" i="1"/>
  <c r="I31" i="1" s="1"/>
  <c r="K31" i="1" s="1"/>
  <c r="H32" i="1"/>
  <c r="I32" i="1" s="1"/>
  <c r="K32" i="1" s="1"/>
  <c r="H33" i="1"/>
  <c r="I33" i="1" s="1"/>
  <c r="K33" i="1" s="1"/>
  <c r="H37" i="1"/>
  <c r="I37" i="1" s="1"/>
  <c r="K37" i="1" s="1"/>
  <c r="H38" i="1"/>
  <c r="I38" i="1" s="1"/>
  <c r="K38" i="1" s="1"/>
  <c r="H39" i="1"/>
  <c r="I39" i="1" s="1"/>
  <c r="K39" i="1" s="1"/>
  <c r="H40" i="1"/>
  <c r="I40" i="1" s="1"/>
  <c r="K40" i="1" s="1"/>
  <c r="H41" i="1"/>
  <c r="I41" i="1" s="1"/>
  <c r="K41" i="1" s="1"/>
  <c r="H42" i="1"/>
  <c r="I42" i="1" s="1"/>
  <c r="K42" i="1" s="1"/>
  <c r="H43" i="1"/>
  <c r="I43" i="1" s="1"/>
  <c r="K43" i="1" s="1"/>
  <c r="H44" i="1"/>
  <c r="I44" i="1" s="1"/>
  <c r="K44" i="1" s="1"/>
  <c r="H45" i="1"/>
  <c r="I45" i="1" s="1"/>
  <c r="K45" i="1" s="1"/>
  <c r="H46" i="1"/>
  <c r="I46" i="1" s="1"/>
  <c r="K46" i="1" s="1"/>
  <c r="H47" i="1"/>
  <c r="I47" i="1" s="1"/>
  <c r="K47" i="1" s="1"/>
  <c r="H48" i="1"/>
  <c r="I48" i="1" s="1"/>
  <c r="K48" i="1" s="1"/>
  <c r="H49" i="1"/>
  <c r="I49" i="1" s="1"/>
  <c r="K49" i="1" s="1"/>
  <c r="H50" i="1"/>
  <c r="I50" i="1" s="1"/>
  <c r="K50" i="1" s="1"/>
  <c r="H51" i="1"/>
  <c r="I51" i="1" s="1"/>
  <c r="K51" i="1" s="1"/>
  <c r="H52" i="1"/>
  <c r="I52" i="1" s="1"/>
  <c r="K52" i="1" s="1"/>
  <c r="H53" i="1"/>
  <c r="I53" i="1" s="1"/>
  <c r="K53" i="1" s="1"/>
  <c r="H54" i="1"/>
  <c r="I54" i="1" s="1"/>
  <c r="K54" i="1" s="1"/>
  <c r="H55" i="1"/>
  <c r="I55" i="1" s="1"/>
  <c r="K55" i="1" s="1"/>
  <c r="H56" i="1"/>
  <c r="I56" i="1" s="1"/>
  <c r="K56" i="1" s="1"/>
  <c r="H57" i="1"/>
  <c r="I57" i="1" s="1"/>
  <c r="K57" i="1" s="1"/>
  <c r="H58" i="1"/>
  <c r="I58" i="1" s="1"/>
  <c r="K58" i="1" s="1"/>
  <c r="H59" i="1"/>
  <c r="I59" i="1" s="1"/>
  <c r="K59" i="1" s="1"/>
  <c r="H60" i="1"/>
  <c r="I60" i="1" s="1"/>
  <c r="K60" i="1" s="1"/>
  <c r="H61" i="1"/>
  <c r="I61" i="1" s="1"/>
  <c r="K61" i="1" s="1"/>
  <c r="H62" i="1"/>
  <c r="I62" i="1" s="1"/>
  <c r="K62" i="1" s="1"/>
  <c r="H63" i="1"/>
  <c r="I63" i="1" s="1"/>
  <c r="K63" i="1" s="1"/>
  <c r="H64" i="1"/>
  <c r="I64" i="1" s="1"/>
  <c r="K64" i="1" s="1"/>
  <c r="H65" i="1"/>
  <c r="I65" i="1" s="1"/>
  <c r="K65" i="1" s="1"/>
  <c r="H66" i="1"/>
  <c r="I66" i="1" s="1"/>
  <c r="K66" i="1" s="1"/>
  <c r="H67" i="1"/>
  <c r="I67" i="1" s="1"/>
  <c r="K67" i="1" s="1"/>
  <c r="H68" i="1"/>
  <c r="I68" i="1" s="1"/>
  <c r="K68" i="1" s="1"/>
  <c r="H69" i="1"/>
  <c r="I69" i="1" s="1"/>
  <c r="K69" i="1" s="1"/>
  <c r="H70" i="1"/>
  <c r="I70" i="1" s="1"/>
  <c r="K70" i="1" s="1"/>
  <c r="H71" i="1"/>
  <c r="I71" i="1" s="1"/>
  <c r="K71" i="1" s="1"/>
  <c r="H72" i="1"/>
  <c r="I72" i="1" s="1"/>
  <c r="K72" i="1" s="1"/>
  <c r="H73" i="1"/>
  <c r="I73" i="1" s="1"/>
  <c r="K73" i="1" s="1"/>
  <c r="H74" i="1"/>
  <c r="I74" i="1" s="1"/>
  <c r="K74" i="1" s="1"/>
  <c r="H75" i="1"/>
  <c r="I75" i="1" s="1"/>
  <c r="K75" i="1" s="1"/>
  <c r="H76" i="1"/>
  <c r="I76" i="1" s="1"/>
  <c r="K76" i="1" s="1"/>
  <c r="H77" i="1"/>
  <c r="I77" i="1" s="1"/>
  <c r="K77" i="1" s="1"/>
  <c r="H78" i="1"/>
  <c r="I78" i="1" s="1"/>
  <c r="K78" i="1" s="1"/>
  <c r="H79" i="1"/>
  <c r="I79" i="1" s="1"/>
  <c r="K79" i="1" s="1"/>
  <c r="H80" i="1"/>
  <c r="I80" i="1" s="1"/>
  <c r="K80" i="1" s="1"/>
  <c r="H81" i="1"/>
  <c r="I81" i="1" s="1"/>
  <c r="K81" i="1" s="1"/>
  <c r="H82" i="1"/>
  <c r="I82" i="1" s="1"/>
  <c r="K82" i="1" s="1"/>
  <c r="H83" i="1"/>
  <c r="I83" i="1" s="1"/>
  <c r="K83" i="1" s="1"/>
  <c r="H84" i="1"/>
  <c r="I84" i="1" s="1"/>
  <c r="K84" i="1" s="1"/>
  <c r="H85" i="1"/>
  <c r="I85" i="1" s="1"/>
  <c r="K85" i="1" s="1"/>
  <c r="H86" i="1"/>
  <c r="I86" i="1" s="1"/>
  <c r="K86" i="1" s="1"/>
  <c r="H87" i="1"/>
  <c r="I87" i="1" s="1"/>
  <c r="K87" i="1" s="1"/>
  <c r="H88" i="1"/>
  <c r="I88" i="1" s="1"/>
  <c r="K88" i="1" s="1"/>
  <c r="H89" i="1"/>
  <c r="I89" i="1" s="1"/>
  <c r="K89" i="1" s="1"/>
  <c r="H90" i="1"/>
  <c r="I90" i="1" s="1"/>
  <c r="K90" i="1" s="1"/>
  <c r="H91" i="1"/>
  <c r="I91" i="1" s="1"/>
  <c r="K91" i="1" s="1"/>
  <c r="H92" i="1"/>
  <c r="I92" i="1" s="1"/>
  <c r="K92" i="1" s="1"/>
  <c r="H93" i="1"/>
  <c r="I93" i="1" s="1"/>
  <c r="K93" i="1" s="1"/>
  <c r="H94" i="1"/>
  <c r="I94" i="1" s="1"/>
  <c r="K94" i="1" s="1"/>
  <c r="H95" i="1"/>
  <c r="I95" i="1" s="1"/>
  <c r="K95" i="1" s="1"/>
  <c r="H96" i="1"/>
  <c r="I96" i="1" s="1"/>
  <c r="K96" i="1" s="1"/>
  <c r="H97" i="1"/>
  <c r="I97" i="1" s="1"/>
  <c r="K97" i="1" s="1"/>
  <c r="H98" i="1"/>
  <c r="I98" i="1" s="1"/>
  <c r="K98" i="1" s="1"/>
  <c r="H99" i="1"/>
  <c r="I99" i="1" s="1"/>
  <c r="K99" i="1" s="1"/>
  <c r="H100" i="1"/>
  <c r="I100" i="1" s="1"/>
  <c r="K100" i="1" s="1"/>
  <c r="H101" i="1"/>
  <c r="I101" i="1" s="1"/>
  <c r="K101" i="1" s="1"/>
  <c r="H102" i="1"/>
  <c r="I102" i="1" s="1"/>
  <c r="K102" i="1" s="1"/>
  <c r="H103" i="1"/>
  <c r="I103" i="1" s="1"/>
  <c r="K103" i="1" s="1"/>
  <c r="H104" i="1"/>
  <c r="I104" i="1" s="1"/>
  <c r="K104" i="1" s="1"/>
  <c r="H105" i="1"/>
  <c r="I105" i="1" s="1"/>
  <c r="K105" i="1" s="1"/>
  <c r="H106" i="1"/>
  <c r="I106" i="1" s="1"/>
  <c r="K106" i="1" s="1"/>
  <c r="H107" i="1"/>
  <c r="I107" i="1" s="1"/>
  <c r="K107" i="1" s="1"/>
  <c r="H108" i="1"/>
  <c r="I108" i="1" s="1"/>
  <c r="K108" i="1" s="1"/>
  <c r="H109" i="1"/>
  <c r="I109" i="1" s="1"/>
  <c r="K109" i="1" s="1"/>
  <c r="H110" i="1"/>
  <c r="I110" i="1" s="1"/>
  <c r="K110" i="1" s="1"/>
  <c r="H111" i="1"/>
  <c r="I111" i="1" s="1"/>
  <c r="K111" i="1" s="1"/>
  <c r="H112" i="1"/>
  <c r="I112" i="1" s="1"/>
  <c r="K112" i="1" s="1"/>
  <c r="H113" i="1"/>
  <c r="I113" i="1" s="1"/>
  <c r="K113" i="1" s="1"/>
  <c r="H114" i="1"/>
  <c r="I114" i="1" s="1"/>
  <c r="K114" i="1" s="1"/>
  <c r="H115" i="1"/>
  <c r="I115" i="1" s="1"/>
  <c r="K115" i="1" s="1"/>
  <c r="H116" i="1"/>
  <c r="I116" i="1" s="1"/>
  <c r="K116" i="1" s="1"/>
  <c r="H117" i="1"/>
  <c r="I117" i="1" s="1"/>
  <c r="K117" i="1" s="1"/>
  <c r="H118" i="1"/>
  <c r="I118" i="1" s="1"/>
  <c r="K118" i="1" s="1"/>
  <c r="H119" i="1"/>
  <c r="I119" i="1" s="1"/>
  <c r="K119" i="1" s="1"/>
  <c r="H120" i="1"/>
  <c r="I120" i="1" s="1"/>
  <c r="K120" i="1" s="1"/>
  <c r="H121" i="1"/>
  <c r="I121" i="1" s="1"/>
  <c r="K121" i="1" s="1"/>
  <c r="H122" i="1"/>
  <c r="I122" i="1" s="1"/>
  <c r="K122" i="1" s="1"/>
  <c r="H123" i="1"/>
  <c r="I123" i="1" s="1"/>
  <c r="K123" i="1" s="1"/>
  <c r="H124" i="1"/>
  <c r="I124" i="1" s="1"/>
  <c r="K124" i="1" s="1"/>
  <c r="H125" i="1"/>
  <c r="I125" i="1" s="1"/>
  <c r="K125" i="1" s="1"/>
  <c r="H126" i="1"/>
  <c r="I126" i="1" s="1"/>
  <c r="K126" i="1" s="1"/>
  <c r="H127" i="1"/>
  <c r="I127" i="1" s="1"/>
  <c r="K127" i="1" s="1"/>
  <c r="H128" i="1"/>
  <c r="I128" i="1" s="1"/>
  <c r="K128" i="1" s="1"/>
  <c r="H129" i="1"/>
  <c r="I129" i="1" s="1"/>
  <c r="K129" i="1" s="1"/>
  <c r="H130" i="1"/>
  <c r="I130" i="1" s="1"/>
  <c r="K130" i="1" s="1"/>
  <c r="H131" i="1"/>
  <c r="I131" i="1" s="1"/>
  <c r="K131" i="1" s="1"/>
  <c r="H132" i="1"/>
  <c r="I132" i="1" s="1"/>
  <c r="K132" i="1" s="1"/>
  <c r="H133" i="1"/>
  <c r="I133" i="1" s="1"/>
  <c r="K133" i="1" s="1"/>
  <c r="H134" i="1"/>
  <c r="I134" i="1" s="1"/>
  <c r="K134" i="1" s="1"/>
  <c r="H135" i="1"/>
  <c r="I135" i="1" s="1"/>
  <c r="K135" i="1" s="1"/>
  <c r="H136" i="1"/>
  <c r="I136" i="1" s="1"/>
  <c r="K136" i="1" s="1"/>
  <c r="H137" i="1"/>
  <c r="I137" i="1" s="1"/>
  <c r="K137" i="1" s="1"/>
  <c r="H138" i="1"/>
  <c r="I138" i="1" s="1"/>
  <c r="K138" i="1" s="1"/>
  <c r="H139" i="1"/>
  <c r="I139" i="1" s="1"/>
  <c r="K139" i="1" s="1"/>
  <c r="H140" i="1"/>
  <c r="I140" i="1" s="1"/>
  <c r="K140" i="1" s="1"/>
  <c r="H141" i="1"/>
  <c r="I141" i="1" s="1"/>
  <c r="K141" i="1" s="1"/>
  <c r="H142" i="1"/>
  <c r="I142" i="1" s="1"/>
  <c r="K142" i="1" s="1"/>
  <c r="H143" i="1"/>
  <c r="I143" i="1" s="1"/>
  <c r="K143" i="1" s="1"/>
  <c r="H144" i="1"/>
  <c r="I144" i="1" s="1"/>
  <c r="K144" i="1" s="1"/>
  <c r="H145" i="1"/>
  <c r="I145" i="1" s="1"/>
  <c r="K145" i="1" s="1"/>
  <c r="H146" i="1"/>
  <c r="I146" i="1" s="1"/>
  <c r="K146" i="1" s="1"/>
  <c r="H147" i="1"/>
  <c r="I147" i="1" s="1"/>
  <c r="K147" i="1" s="1"/>
  <c r="H148" i="1"/>
  <c r="I148" i="1" s="1"/>
  <c r="K148" i="1" s="1"/>
  <c r="H149" i="1"/>
  <c r="I149" i="1" s="1"/>
  <c r="K149" i="1" s="1"/>
  <c r="H150" i="1"/>
  <c r="I150" i="1" s="1"/>
  <c r="K150" i="1" s="1"/>
  <c r="H151" i="1"/>
  <c r="I151" i="1" s="1"/>
  <c r="K151" i="1" s="1"/>
  <c r="H152" i="1"/>
  <c r="I152" i="1" s="1"/>
  <c r="K152" i="1" s="1"/>
  <c r="H153" i="1"/>
  <c r="I153" i="1" s="1"/>
  <c r="K153" i="1" s="1"/>
  <c r="H154" i="1"/>
  <c r="I154" i="1" s="1"/>
  <c r="K154" i="1" s="1"/>
  <c r="H155" i="1"/>
  <c r="I155" i="1" s="1"/>
  <c r="K155" i="1" s="1"/>
  <c r="H156" i="1"/>
  <c r="I156" i="1" s="1"/>
  <c r="K156" i="1" s="1"/>
  <c r="H157" i="1"/>
  <c r="I157" i="1" s="1"/>
  <c r="K157" i="1" s="1"/>
  <c r="H158" i="1"/>
  <c r="I158" i="1" s="1"/>
  <c r="K158" i="1" s="1"/>
  <c r="H159" i="1"/>
  <c r="I159" i="1" s="1"/>
  <c r="K159" i="1" s="1"/>
  <c r="H160" i="1"/>
  <c r="I160" i="1" s="1"/>
  <c r="K160" i="1" s="1"/>
  <c r="H161" i="1"/>
  <c r="I161" i="1" s="1"/>
  <c r="K161" i="1" s="1"/>
  <c r="H162" i="1"/>
  <c r="I162" i="1" s="1"/>
  <c r="K162" i="1" s="1"/>
  <c r="H163" i="1"/>
  <c r="I163" i="1" s="1"/>
  <c r="K163" i="1" s="1"/>
  <c r="H164" i="1"/>
  <c r="I164" i="1" s="1"/>
  <c r="K164" i="1" s="1"/>
  <c r="H165" i="1"/>
  <c r="I165" i="1" s="1"/>
  <c r="K165" i="1" s="1"/>
  <c r="H166" i="1"/>
  <c r="I166" i="1" s="1"/>
  <c r="K166" i="1" s="1"/>
  <c r="H167" i="1"/>
  <c r="I167" i="1" s="1"/>
  <c r="K167" i="1" s="1"/>
  <c r="H168" i="1"/>
  <c r="I168" i="1" s="1"/>
  <c r="K168" i="1" s="1"/>
  <c r="H169" i="1"/>
  <c r="I169" i="1" s="1"/>
  <c r="K169" i="1" s="1"/>
  <c r="H170" i="1"/>
  <c r="I170" i="1" s="1"/>
  <c r="K170" i="1" s="1"/>
  <c r="H171" i="1"/>
  <c r="I171" i="1" s="1"/>
  <c r="K171" i="1" s="1"/>
  <c r="H172" i="1"/>
  <c r="I172" i="1" s="1"/>
  <c r="K172" i="1" s="1"/>
  <c r="H173" i="1"/>
  <c r="I173" i="1" s="1"/>
  <c r="K173" i="1" s="1"/>
  <c r="H174" i="1"/>
  <c r="I174" i="1" s="1"/>
  <c r="K174" i="1" s="1"/>
  <c r="H175" i="1"/>
  <c r="I175" i="1" s="1"/>
  <c r="K175" i="1" s="1"/>
  <c r="H176" i="1"/>
  <c r="I176" i="1" s="1"/>
  <c r="K176" i="1" s="1"/>
  <c r="H177" i="1"/>
  <c r="I177" i="1" s="1"/>
  <c r="K177" i="1" s="1"/>
  <c r="H178" i="1"/>
  <c r="I178" i="1" s="1"/>
  <c r="K178" i="1" s="1"/>
  <c r="H179" i="1"/>
  <c r="I179" i="1" s="1"/>
  <c r="K179" i="1" s="1"/>
  <c r="H180" i="1"/>
  <c r="I180" i="1" s="1"/>
  <c r="K180" i="1" s="1"/>
  <c r="H181" i="1"/>
  <c r="I181" i="1" s="1"/>
  <c r="K181" i="1" s="1"/>
  <c r="H182" i="1"/>
  <c r="I182" i="1" s="1"/>
  <c r="K182" i="1" s="1"/>
  <c r="H183" i="1"/>
  <c r="I183" i="1" s="1"/>
  <c r="K183" i="1" s="1"/>
  <c r="H184" i="1"/>
  <c r="I184" i="1" s="1"/>
  <c r="K184" i="1" s="1"/>
  <c r="H185" i="1"/>
  <c r="I185" i="1" s="1"/>
  <c r="K185" i="1" s="1"/>
  <c r="H186" i="1"/>
  <c r="I186" i="1" s="1"/>
  <c r="K186" i="1" s="1"/>
  <c r="H187" i="1"/>
  <c r="I187" i="1" s="1"/>
  <c r="K187" i="1" s="1"/>
  <c r="H188" i="1"/>
  <c r="I188" i="1" s="1"/>
  <c r="K188" i="1" s="1"/>
  <c r="H189" i="1"/>
  <c r="I189" i="1" s="1"/>
  <c r="K189" i="1" s="1"/>
  <c r="H190" i="1"/>
  <c r="I190" i="1" s="1"/>
  <c r="K190" i="1" s="1"/>
  <c r="H191" i="1"/>
  <c r="I191" i="1" s="1"/>
  <c r="K191" i="1" s="1"/>
  <c r="H192" i="1"/>
  <c r="I192" i="1" s="1"/>
  <c r="K192" i="1" s="1"/>
  <c r="H193" i="1"/>
  <c r="I193" i="1" s="1"/>
  <c r="K193" i="1" s="1"/>
  <c r="H194" i="1"/>
  <c r="I194" i="1" s="1"/>
  <c r="K194" i="1" s="1"/>
  <c r="H195" i="1"/>
  <c r="I195" i="1" s="1"/>
  <c r="K195" i="1" s="1"/>
  <c r="H196" i="1"/>
  <c r="I196" i="1" s="1"/>
  <c r="K196" i="1" s="1"/>
  <c r="H197" i="1"/>
  <c r="I197" i="1" s="1"/>
  <c r="K197" i="1" s="1"/>
  <c r="H198" i="1"/>
  <c r="I198" i="1" s="1"/>
  <c r="K198" i="1" s="1"/>
  <c r="H199" i="1"/>
  <c r="I199" i="1" s="1"/>
  <c r="K199" i="1" s="1"/>
  <c r="H200" i="1"/>
  <c r="I200" i="1" s="1"/>
  <c r="K200" i="1" s="1"/>
  <c r="H201" i="1"/>
  <c r="I201" i="1" s="1"/>
  <c r="K201" i="1" s="1"/>
  <c r="H202" i="1"/>
  <c r="I202" i="1" s="1"/>
  <c r="K202" i="1" s="1"/>
  <c r="H203" i="1"/>
  <c r="I203" i="1" s="1"/>
  <c r="K203" i="1" s="1"/>
  <c r="H204" i="1"/>
  <c r="I204" i="1" s="1"/>
  <c r="K204" i="1" s="1"/>
  <c r="H205" i="1"/>
  <c r="I205" i="1" s="1"/>
  <c r="K205" i="1" s="1"/>
  <c r="H206" i="1"/>
  <c r="I206" i="1" s="1"/>
  <c r="K206" i="1" s="1"/>
  <c r="H207" i="1"/>
  <c r="I207" i="1" s="1"/>
  <c r="K207" i="1" s="1"/>
  <c r="H208" i="1"/>
  <c r="I208" i="1" s="1"/>
  <c r="K208" i="1" s="1"/>
  <c r="H209" i="1"/>
  <c r="I209" i="1" s="1"/>
  <c r="K209" i="1" s="1"/>
  <c r="H210" i="1"/>
  <c r="I210" i="1" s="1"/>
  <c r="K210" i="1" s="1"/>
  <c r="H211" i="1"/>
  <c r="I211" i="1" s="1"/>
  <c r="K211" i="1" s="1"/>
  <c r="H212" i="1"/>
  <c r="I212" i="1" s="1"/>
  <c r="K212" i="1" s="1"/>
  <c r="H213" i="1"/>
  <c r="I213" i="1" s="1"/>
  <c r="K213" i="1" s="1"/>
  <c r="H214" i="1"/>
  <c r="I214" i="1" s="1"/>
  <c r="K214" i="1" s="1"/>
  <c r="H215" i="1"/>
  <c r="I215" i="1" s="1"/>
  <c r="K215" i="1" s="1"/>
  <c r="H216" i="1"/>
  <c r="I216" i="1" s="1"/>
  <c r="K216" i="1" s="1"/>
  <c r="H217" i="1"/>
  <c r="I217" i="1" s="1"/>
  <c r="K217" i="1" s="1"/>
  <c r="H218" i="1"/>
  <c r="I218" i="1" s="1"/>
  <c r="K218" i="1" s="1"/>
  <c r="H219" i="1"/>
  <c r="I219" i="1" s="1"/>
  <c r="K219" i="1" s="1"/>
  <c r="H220" i="1"/>
  <c r="I220" i="1" s="1"/>
  <c r="K220" i="1" s="1"/>
  <c r="H221" i="1"/>
  <c r="I221" i="1" s="1"/>
  <c r="K221" i="1" s="1"/>
  <c r="H222" i="1"/>
  <c r="I222" i="1" s="1"/>
  <c r="K222" i="1" s="1"/>
  <c r="H223" i="1"/>
  <c r="I223" i="1" s="1"/>
  <c r="K223" i="1" s="1"/>
  <c r="H224" i="1"/>
  <c r="I224" i="1" s="1"/>
  <c r="K224" i="1" s="1"/>
  <c r="H225" i="1"/>
  <c r="I225" i="1" s="1"/>
  <c r="K225" i="1" s="1"/>
  <c r="H226" i="1"/>
  <c r="I226" i="1" s="1"/>
  <c r="K226" i="1" s="1"/>
  <c r="H227" i="1"/>
  <c r="I227" i="1" s="1"/>
  <c r="K227" i="1" s="1"/>
  <c r="G29" i="1"/>
  <c r="G30" i="1"/>
  <c r="G31" i="1"/>
  <c r="G32" i="1"/>
  <c r="G33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" i="1"/>
  <c r="L274" i="1" l="1"/>
  <c r="L251" i="1"/>
  <c r="L249" i="1"/>
  <c r="L258" i="1"/>
  <c r="L273" i="1"/>
  <c r="L241" i="1"/>
  <c r="L262" i="1"/>
  <c r="L245" i="1"/>
  <c r="L261" i="1"/>
  <c r="L259" i="1"/>
  <c r="L275" i="1"/>
  <c r="L242" i="1"/>
  <c r="L260" i="1"/>
  <c r="U269" i="1"/>
  <c r="U246" i="1"/>
  <c r="L230" i="1"/>
  <c r="L228" i="1"/>
  <c r="L270" i="1"/>
  <c r="L254" i="1"/>
  <c r="L246" i="1"/>
  <c r="L238" i="1"/>
  <c r="L237" i="1"/>
  <c r="U238" i="1"/>
  <c r="U270" i="1"/>
  <c r="L276" i="1"/>
  <c r="L252" i="1"/>
  <c r="L234" i="1"/>
  <c r="U230" i="1"/>
  <c r="L244" i="1"/>
  <c r="U248" i="1"/>
  <c r="U232" i="1"/>
  <c r="L266" i="1"/>
  <c r="L253" i="1"/>
  <c r="L243" i="1"/>
  <c r="L272" i="1"/>
  <c r="L264" i="1"/>
  <c r="L256" i="1"/>
  <c r="L248" i="1"/>
  <c r="L240" i="1"/>
  <c r="L232" i="1"/>
  <c r="U262" i="1"/>
  <c r="U231" i="1"/>
  <c r="L265" i="1"/>
  <c r="L271" i="1"/>
  <c r="L263" i="1"/>
  <c r="L255" i="1"/>
  <c r="L247" i="1"/>
  <c r="L239" i="1"/>
  <c r="L231" i="1"/>
  <c r="U261" i="1"/>
  <c r="U255" i="1"/>
  <c r="U254" i="1"/>
  <c r="U247" i="1"/>
  <c r="L257" i="1"/>
  <c r="L233" i="1"/>
  <c r="L229" i="1"/>
  <c r="U253" i="1"/>
  <c r="L250" i="1"/>
  <c r="L269" i="1"/>
  <c r="V228" i="1"/>
  <c r="W228" i="1" s="1"/>
  <c r="X228" i="1" s="1"/>
  <c r="U256" i="1"/>
  <c r="L268" i="1"/>
  <c r="L236" i="1"/>
  <c r="V243" i="1"/>
  <c r="W243" i="1" s="1"/>
  <c r="X243" i="1" s="1"/>
  <c r="U277" i="1"/>
  <c r="L277" i="1"/>
  <c r="L267" i="1"/>
  <c r="L235" i="1"/>
  <c r="V245" i="1"/>
  <c r="W245" i="1" s="1"/>
  <c r="X245" i="1" s="1"/>
  <c r="V229" i="1"/>
  <c r="W229" i="1" s="1"/>
  <c r="X229" i="1" s="1"/>
  <c r="U271" i="1"/>
  <c r="U263" i="1"/>
  <c r="U239" i="1"/>
  <c r="U245" i="1"/>
  <c r="U237" i="1"/>
  <c r="U229" i="1"/>
  <c r="U276" i="1"/>
  <c r="U268" i="1"/>
  <c r="U260" i="1"/>
  <c r="U252" i="1"/>
  <c r="U244" i="1"/>
  <c r="U236" i="1"/>
  <c r="U228" i="1"/>
  <c r="U275" i="1"/>
  <c r="U267" i="1"/>
  <c r="U259" i="1"/>
  <c r="U251" i="1"/>
  <c r="U243" i="1"/>
  <c r="U235" i="1"/>
  <c r="V256" i="1"/>
  <c r="W256" i="1" s="1"/>
  <c r="X256" i="1" s="1"/>
  <c r="U274" i="1"/>
  <c r="U266" i="1"/>
  <c r="U258" i="1"/>
  <c r="U250" i="1"/>
  <c r="U242" i="1"/>
  <c r="U234" i="1"/>
  <c r="U273" i="1"/>
  <c r="U265" i="1"/>
  <c r="U257" i="1"/>
  <c r="U249" i="1"/>
  <c r="U241" i="1"/>
  <c r="U233" i="1"/>
  <c r="U272" i="1"/>
  <c r="U264" i="1"/>
  <c r="U240" i="1"/>
  <c r="L220" i="1"/>
  <c r="L212" i="1"/>
  <c r="L196" i="1"/>
  <c r="L188" i="1"/>
  <c r="L174" i="1"/>
  <c r="L166" i="1"/>
  <c r="L158" i="1"/>
  <c r="L150" i="1"/>
  <c r="L142" i="1"/>
  <c r="L134" i="1"/>
  <c r="L118" i="1"/>
  <c r="L110" i="1"/>
  <c r="L102" i="1"/>
  <c r="L94" i="1"/>
  <c r="L86" i="1"/>
  <c r="L72" i="1"/>
  <c r="L64" i="1"/>
  <c r="L56" i="1"/>
  <c r="L48" i="1"/>
  <c r="L40" i="1"/>
  <c r="L29" i="1"/>
  <c r="L21" i="1"/>
  <c r="L13" i="1"/>
  <c r="L5" i="1"/>
  <c r="L34" i="1"/>
  <c r="L35" i="1"/>
  <c r="U34" i="1"/>
  <c r="V34" i="1" s="1"/>
  <c r="W34" i="1" s="1"/>
  <c r="X34" i="1" s="1"/>
  <c r="U35" i="1"/>
  <c r="V35" i="1" s="1"/>
  <c r="W35" i="1" s="1"/>
  <c r="X35" i="1" s="1"/>
  <c r="L221" i="1"/>
  <c r="L213" i="1"/>
  <c r="L205" i="1"/>
  <c r="L197" i="1"/>
  <c r="L189" i="1"/>
  <c r="L175" i="1"/>
  <c r="L167" i="1"/>
  <c r="L159" i="1"/>
  <c r="L151" i="1"/>
  <c r="L143" i="1"/>
  <c r="L135" i="1"/>
  <c r="L127" i="1"/>
  <c r="L119" i="1"/>
  <c r="L111" i="1"/>
  <c r="L103" i="1"/>
  <c r="L95" i="1"/>
  <c r="L87" i="1"/>
  <c r="L227" i="1"/>
  <c r="L219" i="1"/>
  <c r="L211" i="1"/>
  <c r="L203" i="1"/>
  <c r="L195" i="1"/>
  <c r="L187" i="1"/>
  <c r="L181" i="1"/>
  <c r="L173" i="1"/>
  <c r="L165" i="1"/>
  <c r="L157" i="1"/>
  <c r="L149" i="1"/>
  <c r="L141" i="1"/>
  <c r="L133" i="1"/>
  <c r="L125" i="1"/>
  <c r="L117" i="1"/>
  <c r="L109" i="1"/>
  <c r="L101" i="1"/>
  <c r="L93" i="1"/>
  <c r="L85" i="1"/>
  <c r="L79" i="1"/>
  <c r="L71" i="1"/>
  <c r="L63" i="1"/>
  <c r="L55" i="1"/>
  <c r="L47" i="1"/>
  <c r="L39" i="1"/>
  <c r="L28" i="1"/>
  <c r="L20" i="1"/>
  <c r="L12" i="1"/>
  <c r="L4" i="1"/>
  <c r="L73" i="1"/>
  <c r="L65" i="1"/>
  <c r="L57" i="1"/>
  <c r="L49" i="1"/>
  <c r="L41" i="1"/>
  <c r="L30" i="1"/>
  <c r="L22" i="1"/>
  <c r="L14" i="1"/>
  <c r="L6" i="1"/>
  <c r="L225" i="1"/>
  <c r="L36" i="1"/>
  <c r="L226" i="1"/>
  <c r="L218" i="1"/>
  <c r="L210" i="1"/>
  <c r="L202" i="1"/>
  <c r="L194" i="1"/>
  <c r="L186" i="1"/>
  <c r="L180" i="1"/>
  <c r="L164" i="1"/>
  <c r="L156" i="1"/>
  <c r="L148" i="1"/>
  <c r="L140" i="1"/>
  <c r="L132" i="1"/>
  <c r="L124" i="1"/>
  <c r="L116" i="1"/>
  <c r="L108" i="1"/>
  <c r="L100" i="1"/>
  <c r="L92" i="1"/>
  <c r="L84" i="1"/>
  <c r="L78" i="1"/>
  <c r="L70" i="1"/>
  <c r="L62" i="1"/>
  <c r="L54" i="1"/>
  <c r="L46" i="1"/>
  <c r="L38" i="1"/>
  <c r="L27" i="1"/>
  <c r="L19" i="1"/>
  <c r="L11" i="1"/>
  <c r="L3" i="1"/>
  <c r="L139" i="1"/>
  <c r="L209" i="1"/>
  <c r="L193" i="1"/>
  <c r="L179" i="1"/>
  <c r="L171" i="1"/>
  <c r="L155" i="1"/>
  <c r="L147" i="1"/>
  <c r="L131" i="1"/>
  <c r="L217" i="1"/>
  <c r="L201" i="1"/>
  <c r="L185" i="1"/>
  <c r="L163" i="1"/>
  <c r="L123" i="1"/>
  <c r="L115" i="1"/>
  <c r="L107" i="1"/>
  <c r="L99" i="1"/>
  <c r="L91" i="1"/>
  <c r="L83" i="1"/>
  <c r="L77" i="1"/>
  <c r="L69" i="1"/>
  <c r="L61" i="1"/>
  <c r="L53" i="1"/>
  <c r="L45" i="1"/>
  <c r="L37" i="1"/>
  <c r="L26" i="1"/>
  <c r="L18" i="1"/>
  <c r="L10" i="1"/>
  <c r="L224" i="1"/>
  <c r="L216" i="1"/>
  <c r="L208" i="1"/>
  <c r="L200" i="1"/>
  <c r="L192" i="1"/>
  <c r="L184" i="1"/>
  <c r="L170" i="1"/>
  <c r="L162" i="1"/>
  <c r="L154" i="1"/>
  <c r="L146" i="1"/>
  <c r="L138" i="1"/>
  <c r="L130" i="1"/>
  <c r="L122" i="1"/>
  <c r="L114" i="1"/>
  <c r="L106" i="1"/>
  <c r="L98" i="1"/>
  <c r="L82" i="1"/>
  <c r="L76" i="1"/>
  <c r="L68" i="1"/>
  <c r="L60" i="1"/>
  <c r="L52" i="1"/>
  <c r="L44" i="1"/>
  <c r="L33" i="1"/>
  <c r="L25" i="1"/>
  <c r="L17" i="1"/>
  <c r="L9" i="1"/>
  <c r="L223" i="1"/>
  <c r="L183" i="1"/>
  <c r="L169" i="1"/>
  <c r="L161" i="1"/>
  <c r="L153" i="1"/>
  <c r="L145" i="1"/>
  <c r="L137" i="1"/>
  <c r="L129" i="1"/>
  <c r="L121" i="1"/>
  <c r="L113" i="1"/>
  <c r="L105" i="1"/>
  <c r="L97" i="1"/>
  <c r="L89" i="1"/>
  <c r="L81" i="1"/>
  <c r="L75" i="1"/>
  <c r="L67" i="1"/>
  <c r="L59" i="1"/>
  <c r="L51" i="1"/>
  <c r="L43" i="1"/>
  <c r="L32" i="1"/>
  <c r="L16" i="1"/>
  <c r="L8" i="1"/>
  <c r="L222" i="1"/>
  <c r="L214" i="1"/>
  <c r="L198" i="1"/>
  <c r="L190" i="1"/>
  <c r="L160" i="1"/>
  <c r="L152" i="1"/>
  <c r="L144" i="1"/>
  <c r="L128" i="1"/>
  <c r="L120" i="1"/>
  <c r="L112" i="1"/>
  <c r="L104" i="1"/>
  <c r="L96" i="1"/>
  <c r="L88" i="1"/>
  <c r="L80" i="1"/>
  <c r="L74" i="1"/>
  <c r="L66" i="1"/>
  <c r="L58" i="1"/>
  <c r="L50" i="1"/>
  <c r="L42" i="1"/>
  <c r="L31" i="1"/>
  <c r="L15" i="1"/>
  <c r="L7" i="1"/>
  <c r="U36" i="1"/>
  <c r="V36" i="1" s="1"/>
  <c r="W36" i="1" s="1"/>
  <c r="X36" i="1" s="1"/>
  <c r="L23" i="1"/>
  <c r="M3" i="6"/>
  <c r="N3" i="6" s="1"/>
  <c r="N6" i="6"/>
  <c r="N7" i="6"/>
  <c r="U186" i="1"/>
  <c r="V186" i="1" s="1"/>
  <c r="W186" i="1" s="1"/>
  <c r="X186" i="1" s="1"/>
  <c r="U140" i="1"/>
  <c r="V140" i="1" s="1"/>
  <c r="W140" i="1" s="1"/>
  <c r="X140" i="1" s="1"/>
  <c r="U132" i="1"/>
  <c r="U185" i="1"/>
  <c r="V185" i="1" s="1"/>
  <c r="W185" i="1" s="1"/>
  <c r="X185" i="1" s="1"/>
  <c r="U139" i="1"/>
  <c r="U115" i="1"/>
  <c r="U83" i="1"/>
  <c r="V83" i="1" s="1"/>
  <c r="W83" i="1" s="1"/>
  <c r="X83" i="1" s="1"/>
  <c r="U37" i="1"/>
  <c r="V37" i="1" s="1"/>
  <c r="W37" i="1" s="1"/>
  <c r="X37" i="1" s="1"/>
  <c r="U5" i="1"/>
  <c r="V5" i="1" s="1"/>
  <c r="W5" i="1" s="1"/>
  <c r="X5" i="1" s="1"/>
  <c r="V139" i="1"/>
  <c r="W139" i="1" s="1"/>
  <c r="X139" i="1" s="1"/>
  <c r="V115" i="1"/>
  <c r="W115" i="1" s="1"/>
  <c r="X115" i="1" s="1"/>
  <c r="U182" i="1"/>
  <c r="V182" i="1" s="1"/>
  <c r="W182" i="1" s="1"/>
  <c r="X182" i="1" s="1"/>
  <c r="U136" i="1"/>
  <c r="V136" i="1" s="1"/>
  <c r="W136" i="1" s="1"/>
  <c r="X136" i="1" s="1"/>
  <c r="U112" i="1"/>
  <c r="U80" i="1"/>
  <c r="V80" i="1" s="1"/>
  <c r="W80" i="1" s="1"/>
  <c r="X80" i="1" s="1"/>
  <c r="U2" i="1"/>
  <c r="V2" i="1" s="1"/>
  <c r="W2" i="1" s="1"/>
  <c r="X2" i="1" s="1"/>
  <c r="V112" i="1"/>
  <c r="W112" i="1" s="1"/>
  <c r="X112" i="1" s="1"/>
  <c r="U221" i="1"/>
  <c r="V221" i="1" s="1"/>
  <c r="W221" i="1" s="1"/>
  <c r="X221" i="1" s="1"/>
  <c r="U213" i="1"/>
  <c r="U205" i="1"/>
  <c r="U197" i="1"/>
  <c r="V197" i="1" s="1"/>
  <c r="W197" i="1" s="1"/>
  <c r="X197" i="1" s="1"/>
  <c r="U189" i="1"/>
  <c r="V189" i="1" s="1"/>
  <c r="W189" i="1" s="1"/>
  <c r="X189" i="1" s="1"/>
  <c r="U175" i="1"/>
  <c r="V175" i="1" s="1"/>
  <c r="W175" i="1" s="1"/>
  <c r="X175" i="1" s="1"/>
  <c r="U167" i="1"/>
  <c r="U159" i="1"/>
  <c r="U151" i="1"/>
  <c r="V151" i="1" s="1"/>
  <c r="W151" i="1" s="1"/>
  <c r="X151" i="1" s="1"/>
  <c r="U143" i="1"/>
  <c r="V143" i="1" s="1"/>
  <c r="W143" i="1" s="1"/>
  <c r="X143" i="1" s="1"/>
  <c r="U135" i="1"/>
  <c r="V135" i="1" s="1"/>
  <c r="W135" i="1" s="1"/>
  <c r="X135" i="1" s="1"/>
  <c r="U127" i="1"/>
  <c r="V127" i="1" s="1"/>
  <c r="W127" i="1" s="1"/>
  <c r="X127" i="1" s="1"/>
  <c r="U119" i="1"/>
  <c r="V119" i="1" s="1"/>
  <c r="W119" i="1" s="1"/>
  <c r="X119" i="1" s="1"/>
  <c r="U111" i="1"/>
  <c r="U103" i="1"/>
  <c r="U95" i="1"/>
  <c r="V95" i="1" s="1"/>
  <c r="W95" i="1" s="1"/>
  <c r="X95" i="1" s="1"/>
  <c r="U87" i="1"/>
  <c r="V87" i="1" s="1"/>
  <c r="W87" i="1" s="1"/>
  <c r="X87" i="1" s="1"/>
  <c r="U73" i="1"/>
  <c r="V73" i="1" s="1"/>
  <c r="W73" i="1" s="1"/>
  <c r="X73" i="1" s="1"/>
  <c r="U65" i="1"/>
  <c r="U57" i="1"/>
  <c r="U49" i="1"/>
  <c r="V49" i="1" s="1"/>
  <c r="W49" i="1" s="1"/>
  <c r="X49" i="1" s="1"/>
  <c r="U41" i="1"/>
  <c r="U33" i="1"/>
  <c r="V33" i="1" s="1"/>
  <c r="W33" i="1" s="1"/>
  <c r="X33" i="1" s="1"/>
  <c r="U25" i="1"/>
  <c r="U17" i="1"/>
  <c r="U9" i="1"/>
  <c r="V9" i="1" s="1"/>
  <c r="W9" i="1" s="1"/>
  <c r="X9" i="1" s="1"/>
  <c r="U220" i="1"/>
  <c r="V220" i="1" s="1"/>
  <c r="W220" i="1" s="1"/>
  <c r="X220" i="1" s="1"/>
  <c r="U212" i="1"/>
  <c r="U204" i="1"/>
  <c r="U196" i="1"/>
  <c r="V196" i="1" s="1"/>
  <c r="W196" i="1" s="1"/>
  <c r="X196" i="1" s="1"/>
  <c r="U188" i="1"/>
  <c r="V188" i="1" s="1"/>
  <c r="W188" i="1" s="1"/>
  <c r="X188" i="1" s="1"/>
  <c r="U174" i="1"/>
  <c r="U166" i="1"/>
  <c r="U158" i="1"/>
  <c r="U150" i="1"/>
  <c r="V150" i="1" s="1"/>
  <c r="W150" i="1" s="1"/>
  <c r="X150" i="1" s="1"/>
  <c r="U142" i="1"/>
  <c r="V142" i="1" s="1"/>
  <c r="W142" i="1" s="1"/>
  <c r="X142" i="1" s="1"/>
  <c r="U134" i="1"/>
  <c r="U126" i="1"/>
  <c r="U118" i="1"/>
  <c r="U110" i="1"/>
  <c r="U102" i="1"/>
  <c r="U94" i="1"/>
  <c r="V94" i="1" s="1"/>
  <c r="W94" i="1" s="1"/>
  <c r="X94" i="1" s="1"/>
  <c r="U86" i="1"/>
  <c r="V86" i="1" s="1"/>
  <c r="W86" i="1" s="1"/>
  <c r="X86" i="1" s="1"/>
  <c r="U72" i="1"/>
  <c r="V72" i="1" s="1"/>
  <c r="W72" i="1" s="1"/>
  <c r="X72" i="1" s="1"/>
  <c r="U64" i="1"/>
  <c r="U56" i="1"/>
  <c r="U48" i="1"/>
  <c r="V48" i="1" s="1"/>
  <c r="W48" i="1" s="1"/>
  <c r="X48" i="1" s="1"/>
  <c r="U40" i="1"/>
  <c r="U32" i="1"/>
  <c r="U24" i="1"/>
  <c r="U16" i="1"/>
  <c r="U8" i="1"/>
  <c r="V8" i="1" s="1"/>
  <c r="W8" i="1" s="1"/>
  <c r="X8" i="1" s="1"/>
  <c r="U227" i="1"/>
  <c r="U219" i="1"/>
  <c r="U211" i="1"/>
  <c r="U203" i="1"/>
  <c r="U195" i="1"/>
  <c r="V195" i="1" s="1"/>
  <c r="W195" i="1" s="1"/>
  <c r="X195" i="1" s="1"/>
  <c r="U187" i="1"/>
  <c r="V187" i="1" s="1"/>
  <c r="W187" i="1" s="1"/>
  <c r="X187" i="1" s="1"/>
  <c r="U181" i="1"/>
  <c r="U173" i="1"/>
  <c r="U165" i="1"/>
  <c r="U157" i="1"/>
  <c r="U149" i="1"/>
  <c r="V149" i="1" s="1"/>
  <c r="W149" i="1" s="1"/>
  <c r="X149" i="1" s="1"/>
  <c r="U141" i="1"/>
  <c r="V141" i="1" s="1"/>
  <c r="W141" i="1" s="1"/>
  <c r="X141" i="1" s="1"/>
  <c r="U133" i="1"/>
  <c r="U125" i="1"/>
  <c r="U117" i="1"/>
  <c r="U109" i="1"/>
  <c r="U101" i="1"/>
  <c r="U93" i="1"/>
  <c r="V93" i="1" s="1"/>
  <c r="W93" i="1" s="1"/>
  <c r="X93" i="1" s="1"/>
  <c r="U85" i="1"/>
  <c r="V85" i="1" s="1"/>
  <c r="W85" i="1" s="1"/>
  <c r="X85" i="1" s="1"/>
  <c r="U79" i="1"/>
  <c r="V79" i="1" s="1"/>
  <c r="W79" i="1" s="1"/>
  <c r="X79" i="1" s="1"/>
  <c r="U71" i="1"/>
  <c r="V71" i="1" s="1"/>
  <c r="W71" i="1" s="1"/>
  <c r="X71" i="1" s="1"/>
  <c r="U63" i="1"/>
  <c r="U55" i="1"/>
  <c r="U47" i="1"/>
  <c r="V47" i="1" s="1"/>
  <c r="W47" i="1" s="1"/>
  <c r="X47" i="1" s="1"/>
  <c r="U39" i="1"/>
  <c r="V39" i="1" s="1"/>
  <c r="W39" i="1" s="1"/>
  <c r="X39" i="1" s="1"/>
  <c r="U31" i="1"/>
  <c r="U23" i="1"/>
  <c r="V23" i="1" s="1"/>
  <c r="W23" i="1" s="1"/>
  <c r="X23" i="1" s="1"/>
  <c r="U15" i="1"/>
  <c r="V15" i="1" s="1"/>
  <c r="W15" i="1" s="1"/>
  <c r="X15" i="1" s="1"/>
  <c r="U7" i="1"/>
  <c r="V7" i="1" s="1"/>
  <c r="W7" i="1" s="1"/>
  <c r="X7" i="1" s="1"/>
  <c r="U226" i="1"/>
  <c r="V226" i="1" s="1"/>
  <c r="W226" i="1" s="1"/>
  <c r="X226" i="1" s="1"/>
  <c r="U218" i="1"/>
  <c r="U210" i="1"/>
  <c r="U202" i="1"/>
  <c r="V202" i="1" s="1"/>
  <c r="W202" i="1" s="1"/>
  <c r="X202" i="1" s="1"/>
  <c r="U194" i="1"/>
  <c r="V194" i="1" s="1"/>
  <c r="W194" i="1" s="1"/>
  <c r="X194" i="1" s="1"/>
  <c r="U180" i="1"/>
  <c r="V180" i="1" s="1"/>
  <c r="W180" i="1" s="1"/>
  <c r="X180" i="1" s="1"/>
  <c r="U172" i="1"/>
  <c r="U164" i="1"/>
  <c r="U156" i="1"/>
  <c r="V156" i="1" s="1"/>
  <c r="W156" i="1" s="1"/>
  <c r="X156" i="1" s="1"/>
  <c r="U148" i="1"/>
  <c r="V148" i="1" s="1"/>
  <c r="W148" i="1" s="1"/>
  <c r="X148" i="1" s="1"/>
  <c r="U124" i="1"/>
  <c r="V124" i="1" s="1"/>
  <c r="W124" i="1" s="1"/>
  <c r="X124" i="1" s="1"/>
  <c r="U116" i="1"/>
  <c r="V116" i="1" s="1"/>
  <c r="W116" i="1" s="1"/>
  <c r="X116" i="1" s="1"/>
  <c r="U108" i="1"/>
  <c r="U100" i="1"/>
  <c r="V100" i="1" s="1"/>
  <c r="W100" i="1" s="1"/>
  <c r="X100" i="1" s="1"/>
  <c r="U92" i="1"/>
  <c r="V92" i="1" s="1"/>
  <c r="W92" i="1" s="1"/>
  <c r="X92" i="1" s="1"/>
  <c r="U84" i="1"/>
  <c r="V84" i="1" s="1"/>
  <c r="W84" i="1" s="1"/>
  <c r="X84" i="1" s="1"/>
  <c r="U78" i="1"/>
  <c r="V78" i="1" s="1"/>
  <c r="W78" i="1" s="1"/>
  <c r="X78" i="1" s="1"/>
  <c r="U70" i="1"/>
  <c r="V70" i="1" s="1"/>
  <c r="W70" i="1" s="1"/>
  <c r="X70" i="1" s="1"/>
  <c r="U62" i="1"/>
  <c r="U54" i="1"/>
  <c r="V54" i="1" s="1"/>
  <c r="W54" i="1" s="1"/>
  <c r="X54" i="1" s="1"/>
  <c r="U46" i="1"/>
  <c r="V46" i="1" s="1"/>
  <c r="W46" i="1" s="1"/>
  <c r="X46" i="1" s="1"/>
  <c r="U38" i="1"/>
  <c r="V38" i="1" s="1"/>
  <c r="W38" i="1" s="1"/>
  <c r="X38" i="1" s="1"/>
  <c r="U30" i="1"/>
  <c r="U22" i="1"/>
  <c r="V22" i="1" s="1"/>
  <c r="W22" i="1" s="1"/>
  <c r="X22" i="1" s="1"/>
  <c r="U14" i="1"/>
  <c r="V14" i="1" s="1"/>
  <c r="W14" i="1" s="1"/>
  <c r="X14" i="1" s="1"/>
  <c r="U6" i="1"/>
  <c r="V6" i="1" s="1"/>
  <c r="W6" i="1" s="1"/>
  <c r="X6" i="1" s="1"/>
  <c r="U225" i="1"/>
  <c r="V225" i="1" s="1"/>
  <c r="W225" i="1" s="1"/>
  <c r="X225" i="1" s="1"/>
  <c r="U217" i="1"/>
  <c r="U209" i="1"/>
  <c r="U201" i="1"/>
  <c r="V201" i="1" s="1"/>
  <c r="W201" i="1" s="1"/>
  <c r="X201" i="1" s="1"/>
  <c r="U193" i="1"/>
  <c r="V193" i="1" s="1"/>
  <c r="W193" i="1" s="1"/>
  <c r="X193" i="1" s="1"/>
  <c r="U179" i="1"/>
  <c r="V179" i="1" s="1"/>
  <c r="W179" i="1" s="1"/>
  <c r="X179" i="1" s="1"/>
  <c r="U171" i="1"/>
  <c r="U163" i="1"/>
  <c r="U155" i="1"/>
  <c r="V155" i="1" s="1"/>
  <c r="W155" i="1" s="1"/>
  <c r="X155" i="1" s="1"/>
  <c r="U147" i="1"/>
  <c r="V147" i="1" s="1"/>
  <c r="W147" i="1" s="1"/>
  <c r="X147" i="1" s="1"/>
  <c r="U131" i="1"/>
  <c r="V131" i="1" s="1"/>
  <c r="W131" i="1" s="1"/>
  <c r="X131" i="1" s="1"/>
  <c r="U123" i="1"/>
  <c r="V123" i="1" s="1"/>
  <c r="W123" i="1" s="1"/>
  <c r="X123" i="1" s="1"/>
  <c r="U107" i="1"/>
  <c r="U99" i="1"/>
  <c r="V99" i="1" s="1"/>
  <c r="W99" i="1" s="1"/>
  <c r="X99" i="1" s="1"/>
  <c r="U91" i="1"/>
  <c r="V91" i="1" s="1"/>
  <c r="W91" i="1" s="1"/>
  <c r="X91" i="1" s="1"/>
  <c r="U77" i="1"/>
  <c r="V77" i="1" s="1"/>
  <c r="W77" i="1" s="1"/>
  <c r="X77" i="1" s="1"/>
  <c r="U69" i="1"/>
  <c r="V69" i="1" s="1"/>
  <c r="W69" i="1" s="1"/>
  <c r="X69" i="1" s="1"/>
  <c r="U61" i="1"/>
  <c r="U53" i="1"/>
  <c r="U45" i="1"/>
  <c r="V45" i="1" s="1"/>
  <c r="W45" i="1" s="1"/>
  <c r="X45" i="1" s="1"/>
  <c r="U29" i="1"/>
  <c r="V29" i="1" s="1"/>
  <c r="W29" i="1" s="1"/>
  <c r="X29" i="1" s="1"/>
  <c r="U21" i="1"/>
  <c r="V21" i="1" s="1"/>
  <c r="W21" i="1" s="1"/>
  <c r="X21" i="1" s="1"/>
  <c r="U13" i="1"/>
  <c r="V13" i="1" s="1"/>
  <c r="W13" i="1" s="1"/>
  <c r="X13" i="1" s="1"/>
  <c r="U224" i="1"/>
  <c r="V224" i="1" s="1"/>
  <c r="W224" i="1" s="1"/>
  <c r="X224" i="1" s="1"/>
  <c r="U216" i="1"/>
  <c r="U208" i="1"/>
  <c r="U200" i="1"/>
  <c r="V200" i="1" s="1"/>
  <c r="W200" i="1" s="1"/>
  <c r="X200" i="1" s="1"/>
  <c r="U192" i="1"/>
  <c r="V192" i="1" s="1"/>
  <c r="W192" i="1" s="1"/>
  <c r="X192" i="1" s="1"/>
  <c r="U184" i="1"/>
  <c r="V184" i="1" s="1"/>
  <c r="W184" i="1" s="1"/>
  <c r="X184" i="1" s="1"/>
  <c r="U178" i="1"/>
  <c r="V178" i="1" s="1"/>
  <c r="W178" i="1" s="1"/>
  <c r="X178" i="1" s="1"/>
  <c r="U170" i="1"/>
  <c r="U162" i="1"/>
  <c r="U154" i="1"/>
  <c r="V154" i="1" s="1"/>
  <c r="W154" i="1" s="1"/>
  <c r="X154" i="1" s="1"/>
  <c r="U146" i="1"/>
  <c r="V146" i="1" s="1"/>
  <c r="W146" i="1" s="1"/>
  <c r="X146" i="1" s="1"/>
  <c r="U138" i="1"/>
  <c r="V138" i="1" s="1"/>
  <c r="W138" i="1" s="1"/>
  <c r="X138" i="1" s="1"/>
  <c r="U130" i="1"/>
  <c r="U122" i="1"/>
  <c r="U114" i="1"/>
  <c r="U106" i="1"/>
  <c r="U98" i="1"/>
  <c r="V98" i="1" s="1"/>
  <c r="W98" i="1" s="1"/>
  <c r="X98" i="1" s="1"/>
  <c r="U90" i="1"/>
  <c r="V90" i="1" s="1"/>
  <c r="W90" i="1" s="1"/>
  <c r="X90" i="1" s="1"/>
  <c r="U82" i="1"/>
  <c r="V82" i="1" s="1"/>
  <c r="W82" i="1" s="1"/>
  <c r="X82" i="1" s="1"/>
  <c r="U76" i="1"/>
  <c r="V76" i="1" s="1"/>
  <c r="W76" i="1" s="1"/>
  <c r="X76" i="1" s="1"/>
  <c r="U68" i="1"/>
  <c r="V68" i="1" s="1"/>
  <c r="W68" i="1" s="1"/>
  <c r="X68" i="1" s="1"/>
  <c r="U60" i="1"/>
  <c r="U52" i="1"/>
  <c r="V52" i="1" s="1"/>
  <c r="W52" i="1" s="1"/>
  <c r="X52" i="1" s="1"/>
  <c r="U44" i="1"/>
  <c r="V44" i="1" s="1"/>
  <c r="W44" i="1" s="1"/>
  <c r="X44" i="1" s="1"/>
  <c r="U28" i="1"/>
  <c r="U20" i="1"/>
  <c r="V20" i="1" s="1"/>
  <c r="W20" i="1" s="1"/>
  <c r="X20" i="1" s="1"/>
  <c r="U12" i="1"/>
  <c r="V12" i="1" s="1"/>
  <c r="W12" i="1" s="1"/>
  <c r="X12" i="1" s="1"/>
  <c r="U4" i="1"/>
  <c r="V4" i="1" s="1"/>
  <c r="W4" i="1" s="1"/>
  <c r="X4" i="1" s="1"/>
  <c r="U223" i="1"/>
  <c r="V223" i="1" s="1"/>
  <c r="W223" i="1" s="1"/>
  <c r="X223" i="1" s="1"/>
  <c r="U215" i="1"/>
  <c r="U207" i="1"/>
  <c r="U199" i="1"/>
  <c r="V199" i="1" s="1"/>
  <c r="W199" i="1" s="1"/>
  <c r="X199" i="1" s="1"/>
  <c r="U191" i="1"/>
  <c r="V191" i="1" s="1"/>
  <c r="W191" i="1" s="1"/>
  <c r="X191" i="1" s="1"/>
  <c r="U183" i="1"/>
  <c r="V183" i="1" s="1"/>
  <c r="W183" i="1" s="1"/>
  <c r="X183" i="1" s="1"/>
  <c r="U177" i="1"/>
  <c r="V177" i="1" s="1"/>
  <c r="W177" i="1" s="1"/>
  <c r="X177" i="1" s="1"/>
  <c r="U169" i="1"/>
  <c r="U161" i="1"/>
  <c r="U153" i="1"/>
  <c r="V153" i="1" s="1"/>
  <c r="W153" i="1" s="1"/>
  <c r="X153" i="1" s="1"/>
  <c r="U145" i="1"/>
  <c r="V145" i="1" s="1"/>
  <c r="W145" i="1" s="1"/>
  <c r="X145" i="1" s="1"/>
  <c r="U137" i="1"/>
  <c r="V137" i="1" s="1"/>
  <c r="W137" i="1" s="1"/>
  <c r="X137" i="1" s="1"/>
  <c r="U129" i="1"/>
  <c r="U121" i="1"/>
  <c r="U113" i="1"/>
  <c r="U105" i="1"/>
  <c r="U97" i="1"/>
  <c r="V97" i="1" s="1"/>
  <c r="W97" i="1" s="1"/>
  <c r="X97" i="1" s="1"/>
  <c r="U89" i="1"/>
  <c r="V89" i="1" s="1"/>
  <c r="W89" i="1" s="1"/>
  <c r="X89" i="1" s="1"/>
  <c r="U81" i="1"/>
  <c r="V81" i="1" s="1"/>
  <c r="W81" i="1" s="1"/>
  <c r="X81" i="1" s="1"/>
  <c r="U75" i="1"/>
  <c r="V75" i="1" s="1"/>
  <c r="W75" i="1" s="1"/>
  <c r="X75" i="1" s="1"/>
  <c r="U67" i="1"/>
  <c r="V67" i="1" s="1"/>
  <c r="W67" i="1" s="1"/>
  <c r="X67" i="1" s="1"/>
  <c r="U59" i="1"/>
  <c r="U51" i="1"/>
  <c r="V51" i="1" s="1"/>
  <c r="W51" i="1" s="1"/>
  <c r="X51" i="1" s="1"/>
  <c r="U43" i="1"/>
  <c r="V43" i="1" s="1"/>
  <c r="W43" i="1" s="1"/>
  <c r="X43" i="1" s="1"/>
  <c r="U27" i="1"/>
  <c r="U19" i="1"/>
  <c r="V19" i="1" s="1"/>
  <c r="W19" i="1" s="1"/>
  <c r="X19" i="1" s="1"/>
  <c r="U11" i="1"/>
  <c r="V11" i="1" s="1"/>
  <c r="W11" i="1" s="1"/>
  <c r="X11" i="1" s="1"/>
  <c r="U3" i="1"/>
  <c r="V3" i="1" s="1"/>
  <c r="W3" i="1" s="1"/>
  <c r="X3" i="1" s="1"/>
  <c r="U222" i="1"/>
  <c r="V222" i="1" s="1"/>
  <c r="W222" i="1" s="1"/>
  <c r="X222" i="1" s="1"/>
  <c r="U214" i="1"/>
  <c r="U206" i="1"/>
  <c r="U198" i="1"/>
  <c r="V198" i="1" s="1"/>
  <c r="W198" i="1" s="1"/>
  <c r="X198" i="1" s="1"/>
  <c r="U190" i="1"/>
  <c r="V190" i="1" s="1"/>
  <c r="W190" i="1" s="1"/>
  <c r="X190" i="1" s="1"/>
  <c r="U176" i="1"/>
  <c r="V176" i="1" s="1"/>
  <c r="W176" i="1" s="1"/>
  <c r="X176" i="1" s="1"/>
  <c r="U168" i="1"/>
  <c r="U160" i="1"/>
  <c r="U152" i="1"/>
  <c r="V152" i="1" s="1"/>
  <c r="W152" i="1" s="1"/>
  <c r="X152" i="1" s="1"/>
  <c r="U144" i="1"/>
  <c r="V144" i="1" s="1"/>
  <c r="W144" i="1" s="1"/>
  <c r="X144" i="1" s="1"/>
  <c r="U128" i="1"/>
  <c r="U120" i="1"/>
  <c r="V120" i="1" s="1"/>
  <c r="W120" i="1" s="1"/>
  <c r="X120" i="1" s="1"/>
  <c r="U104" i="1"/>
  <c r="U96" i="1"/>
  <c r="V96" i="1" s="1"/>
  <c r="W96" i="1" s="1"/>
  <c r="X96" i="1" s="1"/>
  <c r="U88" i="1"/>
  <c r="V88" i="1" s="1"/>
  <c r="W88" i="1" s="1"/>
  <c r="X88" i="1" s="1"/>
  <c r="U74" i="1"/>
  <c r="V74" i="1" s="1"/>
  <c r="W74" i="1" s="1"/>
  <c r="X74" i="1" s="1"/>
  <c r="U66" i="1"/>
  <c r="V66" i="1" s="1"/>
  <c r="W66" i="1" s="1"/>
  <c r="X66" i="1" s="1"/>
  <c r="U58" i="1"/>
  <c r="U50" i="1"/>
  <c r="V50" i="1" s="1"/>
  <c r="W50" i="1" s="1"/>
  <c r="X50" i="1" s="1"/>
  <c r="U42" i="1"/>
  <c r="U26" i="1"/>
  <c r="V26" i="1" s="1"/>
  <c r="W26" i="1" s="1"/>
  <c r="X26" i="1" s="1"/>
  <c r="U18" i="1"/>
  <c r="V18" i="1" s="1"/>
  <c r="W18" i="1" s="1"/>
  <c r="X18" i="1" s="1"/>
  <c r="U10" i="1"/>
  <c r="V10" i="1" s="1"/>
  <c r="W10" i="1" s="1"/>
  <c r="X10" i="1" s="1"/>
  <c r="K2" i="4"/>
  <c r="L24" i="1"/>
  <c r="K7" i="4"/>
  <c r="K6" i="4"/>
  <c r="K5" i="4"/>
  <c r="K4" i="4"/>
  <c r="K3" i="4"/>
  <c r="L126" i="1"/>
  <c r="L7" i="4"/>
  <c r="L5" i="4"/>
  <c r="L4" i="4"/>
  <c r="L3" i="4"/>
  <c r="L2" i="4"/>
  <c r="L6" i="4"/>
  <c r="H5" i="4"/>
  <c r="I5" i="4" s="1"/>
  <c r="H6" i="4"/>
  <c r="I6" i="4" s="1"/>
  <c r="H2" i="4"/>
  <c r="I2" i="4" s="1"/>
  <c r="H7" i="4"/>
  <c r="I7" i="4" s="1"/>
  <c r="H4" i="4"/>
  <c r="I4" i="4" s="1"/>
  <c r="H3" i="4"/>
  <c r="I3" i="4" s="1"/>
  <c r="L191" i="1"/>
  <c r="L204" i="1"/>
  <c r="L199" i="1"/>
  <c r="L177" i="1"/>
  <c r="L206" i="1"/>
  <c r="L176" i="1"/>
  <c r="L168" i="1"/>
  <c r="L172" i="1"/>
  <c r="C2" i="4"/>
  <c r="F2" i="4" s="1"/>
  <c r="C7" i="4"/>
  <c r="F7" i="4" s="1"/>
  <c r="C6" i="4"/>
  <c r="F6" i="4" s="1"/>
  <c r="L178" i="1"/>
  <c r="L215" i="1"/>
  <c r="L207" i="1"/>
  <c r="L90" i="1"/>
  <c r="C5" i="4"/>
  <c r="F5" i="4" s="1"/>
  <c r="C4" i="4"/>
  <c r="F4" i="4" s="1"/>
  <c r="C3" i="4"/>
  <c r="F3" i="4" s="1"/>
  <c r="L182" i="1"/>
  <c r="L136" i="1"/>
  <c r="L2" i="1"/>
  <c r="D3" i="4" l="1"/>
  <c r="N3" i="4" s="1"/>
  <c r="D5" i="4"/>
  <c r="M5" i="4" s="1"/>
  <c r="D4" i="4"/>
  <c r="J4" i="4" s="1"/>
  <c r="O7" i="4"/>
  <c r="O5" i="4"/>
  <c r="P5" i="4" s="1"/>
  <c r="O6" i="4"/>
  <c r="O2" i="4"/>
  <c r="O3" i="4"/>
  <c r="Q3" i="4" s="1"/>
  <c r="O4" i="4"/>
  <c r="D2" i="4"/>
  <c r="G2" i="4" s="1"/>
  <c r="N5" i="4"/>
  <c r="G3" i="4"/>
  <c r="M3" i="4"/>
  <c r="G5" i="4"/>
  <c r="J5" i="4"/>
  <c r="E5" i="4"/>
  <c r="E3" i="4"/>
  <c r="D6" i="4"/>
  <c r="J3" i="4"/>
  <c r="D7" i="4"/>
  <c r="E4" i="4" l="1"/>
  <c r="N4" i="4"/>
  <c r="M4" i="4"/>
  <c r="Q7" i="4"/>
  <c r="G4" i="4"/>
  <c r="P4" i="4"/>
  <c r="P3" i="4"/>
  <c r="M2" i="4"/>
  <c r="Q2" i="4"/>
  <c r="Q6" i="4"/>
  <c r="Q4" i="4"/>
  <c r="Q5" i="4"/>
  <c r="N7" i="4"/>
  <c r="P7" i="4"/>
  <c r="N6" i="4"/>
  <c r="P6" i="4"/>
  <c r="N2" i="4"/>
  <c r="P2" i="4"/>
  <c r="E2" i="4"/>
  <c r="J2" i="4"/>
  <c r="G6" i="4"/>
  <c r="M6" i="4"/>
  <c r="E7" i="4"/>
  <c r="M7" i="4"/>
  <c r="J6" i="4"/>
  <c r="E6" i="4"/>
  <c r="G7" i="4"/>
  <c r="J7" i="4"/>
</calcChain>
</file>

<file path=xl/sharedStrings.xml><?xml version="1.0" encoding="utf-8"?>
<sst xmlns="http://schemas.openxmlformats.org/spreadsheetml/2006/main" count="1958" uniqueCount="452">
  <si>
    <t>ticker</t>
  </si>
  <si>
    <t>fiscal_year</t>
  </si>
  <si>
    <t>quarter</t>
  </si>
  <si>
    <t>period_end</t>
  </si>
  <si>
    <t>buyback_musd</t>
  </si>
  <si>
    <t>method</t>
  </si>
  <si>
    <t>AAL</t>
  </si>
  <si>
    <t>Q1</t>
  </si>
  <si>
    <t>ytd_difference</t>
  </si>
  <si>
    <t>Q2</t>
  </si>
  <si>
    <t>Q3</t>
  </si>
  <si>
    <t>Q4</t>
  </si>
  <si>
    <t>missing</t>
  </si>
  <si>
    <t>ALK</t>
  </si>
  <si>
    <t>DAL</t>
  </si>
  <si>
    <t>JBLU</t>
  </si>
  <si>
    <t>LUV</t>
  </si>
  <si>
    <t>UAL</t>
  </si>
  <si>
    <t>note</t>
  </si>
  <si>
    <t>current_price</t>
  </si>
  <si>
    <t>as_of_date</t>
  </si>
  <si>
    <t>key</t>
  </si>
  <si>
    <t>avg_price</t>
  </si>
  <si>
    <t>trading_days</t>
  </si>
  <si>
    <t>complete_quarter</t>
  </si>
  <si>
    <t>AAL-2015-Q1</t>
  </si>
  <si>
    <t>AAL-2015-Q2</t>
  </si>
  <si>
    <t>AAL-2015-Q3</t>
  </si>
  <si>
    <t>AAL-2015-Q4</t>
  </si>
  <si>
    <t>AAL-2016-Q1</t>
  </si>
  <si>
    <t>AAL-2016-Q2</t>
  </si>
  <si>
    <t>AAL-2016-Q3</t>
  </si>
  <si>
    <t>AAL-2016-Q4</t>
  </si>
  <si>
    <t>AAL-2017-Q1</t>
  </si>
  <si>
    <t>AAL-2017-Q2</t>
  </si>
  <si>
    <t>AAL-2017-Q3</t>
  </si>
  <si>
    <t>AAL-2017-Q4</t>
  </si>
  <si>
    <t>AAL-2018-Q1</t>
  </si>
  <si>
    <t>AAL-2018-Q2</t>
  </si>
  <si>
    <t>AAL-2018-Q3</t>
  </si>
  <si>
    <t>AAL-2018-Q4</t>
  </si>
  <si>
    <t>AAL-2019-Q1</t>
  </si>
  <si>
    <t>AAL-2019-Q2</t>
  </si>
  <si>
    <t>AAL-2019-Q3</t>
  </si>
  <si>
    <t>AAL-2019-Q4</t>
  </si>
  <si>
    <t>AAL-2020-Q1</t>
  </si>
  <si>
    <t>AAL-2020-Q2</t>
  </si>
  <si>
    <t>AAL-2020-Q3</t>
  </si>
  <si>
    <t>AAL-2020-Q4</t>
  </si>
  <si>
    <t>AAL-2021-Q1</t>
  </si>
  <si>
    <t>AAL-2021-Q2</t>
  </si>
  <si>
    <t>AAL-2021-Q3</t>
  </si>
  <si>
    <t>AAL-2021-Q4</t>
  </si>
  <si>
    <t>AAL-2022-Q1</t>
  </si>
  <si>
    <t>AAL-2022-Q2</t>
  </si>
  <si>
    <t>AAL-2022-Q3</t>
  </si>
  <si>
    <t>AAL-2022-Q4</t>
  </si>
  <si>
    <t>AAL-2023-Q1</t>
  </si>
  <si>
    <t>AAL-2023-Q2</t>
  </si>
  <si>
    <t>AAL-2023-Q3</t>
  </si>
  <si>
    <t>AAL-2023-Q4</t>
  </si>
  <si>
    <t>AAL-2024-Q1</t>
  </si>
  <si>
    <t>AAL-2024-Q2</t>
  </si>
  <si>
    <t>AAL-2024-Q3</t>
  </si>
  <si>
    <t>AAL-2024-Q4</t>
  </si>
  <si>
    <t>AAL-2025-Q1</t>
  </si>
  <si>
    <t>AAL-2025-Q2</t>
  </si>
  <si>
    <t>AAL-2025-Q3</t>
  </si>
  <si>
    <t>AAL-2025-Q4</t>
  </si>
  <si>
    <t>AAL-2026-Q1</t>
  </si>
  <si>
    <t>AAL-2026-Q2</t>
  </si>
  <si>
    <t>AAL-2026-Q3</t>
  </si>
  <si>
    <t>ALK-2015-Q1</t>
  </si>
  <si>
    <t>ALK-2015-Q2</t>
  </si>
  <si>
    <t>ALK-2015-Q3</t>
  </si>
  <si>
    <t>ALK-2015-Q4</t>
  </si>
  <si>
    <t>ALK-2016-Q1</t>
  </si>
  <si>
    <t>ALK-2016-Q2</t>
  </si>
  <si>
    <t>ALK-2016-Q3</t>
  </si>
  <si>
    <t>ALK-2016-Q4</t>
  </si>
  <si>
    <t>ALK-2017-Q1</t>
  </si>
  <si>
    <t>ALK-2017-Q2</t>
  </si>
  <si>
    <t>ALK-2017-Q3</t>
  </si>
  <si>
    <t>ALK-2017-Q4</t>
  </si>
  <si>
    <t>ALK-2018-Q1</t>
  </si>
  <si>
    <t>ALK-2018-Q2</t>
  </si>
  <si>
    <t>ALK-2018-Q3</t>
  </si>
  <si>
    <t>ALK-2018-Q4</t>
  </si>
  <si>
    <t>ALK-2019-Q1</t>
  </si>
  <si>
    <t>ALK-2019-Q2</t>
  </si>
  <si>
    <t>ALK-2019-Q3</t>
  </si>
  <si>
    <t>ALK-2019-Q4</t>
  </si>
  <si>
    <t>ALK-2020-Q1</t>
  </si>
  <si>
    <t>ALK-2020-Q2</t>
  </si>
  <si>
    <t>ALK-2020-Q3</t>
  </si>
  <si>
    <t>ALK-2020-Q4</t>
  </si>
  <si>
    <t>ALK-2021-Q1</t>
  </si>
  <si>
    <t>ALK-2021-Q2</t>
  </si>
  <si>
    <t>ALK-2021-Q3</t>
  </si>
  <si>
    <t>ALK-2021-Q4</t>
  </si>
  <si>
    <t>ALK-2022-Q1</t>
  </si>
  <si>
    <t>ALK-2022-Q2</t>
  </si>
  <si>
    <t>ALK-2022-Q3</t>
  </si>
  <si>
    <t>ALK-2022-Q4</t>
  </si>
  <si>
    <t>ALK-2023-Q1</t>
  </si>
  <si>
    <t>ALK-2023-Q2</t>
  </si>
  <si>
    <t>ALK-2023-Q3</t>
  </si>
  <si>
    <t>ALK-2023-Q4</t>
  </si>
  <si>
    <t>ALK-2024-Q1</t>
  </si>
  <si>
    <t>ALK-2024-Q2</t>
  </si>
  <si>
    <t>ALK-2024-Q3</t>
  </si>
  <si>
    <t>ALK-2024-Q4</t>
  </si>
  <si>
    <t>ALK-2025-Q1</t>
  </si>
  <si>
    <t>ALK-2025-Q2</t>
  </si>
  <si>
    <t>ALK-2025-Q3</t>
  </si>
  <si>
    <t>ALK-2025-Q4</t>
  </si>
  <si>
    <t>ALK-2026-Q1</t>
  </si>
  <si>
    <t>ALK-2026-Q2</t>
  </si>
  <si>
    <t>ALK-2026-Q3</t>
  </si>
  <si>
    <t>DAL-2015-Q1</t>
  </si>
  <si>
    <t>DAL-2015-Q2</t>
  </si>
  <si>
    <t>DAL-2015-Q3</t>
  </si>
  <si>
    <t>DAL-2015-Q4</t>
  </si>
  <si>
    <t>DAL-2016-Q1</t>
  </si>
  <si>
    <t>DAL-2016-Q2</t>
  </si>
  <si>
    <t>DAL-2016-Q3</t>
  </si>
  <si>
    <t>DAL-2016-Q4</t>
  </si>
  <si>
    <t>DAL-2017-Q1</t>
  </si>
  <si>
    <t>DAL-2017-Q2</t>
  </si>
  <si>
    <t>DAL-2017-Q3</t>
  </si>
  <si>
    <t>DAL-2017-Q4</t>
  </si>
  <si>
    <t>DAL-2018-Q1</t>
  </si>
  <si>
    <t>DAL-2018-Q2</t>
  </si>
  <si>
    <t>DAL-2018-Q3</t>
  </si>
  <si>
    <t>DAL-2018-Q4</t>
  </si>
  <si>
    <t>DAL-2019-Q1</t>
  </si>
  <si>
    <t>DAL-2019-Q2</t>
  </si>
  <si>
    <t>DAL-2019-Q3</t>
  </si>
  <si>
    <t>DAL-2019-Q4</t>
  </si>
  <si>
    <t>DAL-2020-Q1</t>
  </si>
  <si>
    <t>DAL-2020-Q2</t>
  </si>
  <si>
    <t>DAL-2020-Q3</t>
  </si>
  <si>
    <t>DAL-2020-Q4</t>
  </si>
  <si>
    <t>DAL-2021-Q1</t>
  </si>
  <si>
    <t>DAL-2021-Q2</t>
  </si>
  <si>
    <t>DAL-2021-Q3</t>
  </si>
  <si>
    <t>DAL-2021-Q4</t>
  </si>
  <si>
    <t>DAL-2022-Q1</t>
  </si>
  <si>
    <t>DAL-2022-Q2</t>
  </si>
  <si>
    <t>DAL-2022-Q3</t>
  </si>
  <si>
    <t>DAL-2022-Q4</t>
  </si>
  <si>
    <t>DAL-2023-Q1</t>
  </si>
  <si>
    <t>DAL-2023-Q2</t>
  </si>
  <si>
    <t>DAL-2023-Q3</t>
  </si>
  <si>
    <t>DAL-2023-Q4</t>
  </si>
  <si>
    <t>DAL-2024-Q1</t>
  </si>
  <si>
    <t>DAL-2024-Q2</t>
  </si>
  <si>
    <t>DAL-2024-Q3</t>
  </si>
  <si>
    <t>DAL-2024-Q4</t>
  </si>
  <si>
    <t>DAL-2025-Q1</t>
  </si>
  <si>
    <t>DAL-2025-Q2</t>
  </si>
  <si>
    <t>DAL-2025-Q3</t>
  </si>
  <si>
    <t>DAL-2025-Q4</t>
  </si>
  <si>
    <t>DAL-2026-Q1</t>
  </si>
  <si>
    <t>DAL-2026-Q2</t>
  </si>
  <si>
    <t>DAL-2026-Q3</t>
  </si>
  <si>
    <t>JBLU-2015-Q1</t>
  </si>
  <si>
    <t>JBLU-2015-Q2</t>
  </si>
  <si>
    <t>JBLU-2015-Q3</t>
  </si>
  <si>
    <t>JBLU-2015-Q4</t>
  </si>
  <si>
    <t>JBLU-2016-Q1</t>
  </si>
  <si>
    <t>JBLU-2016-Q2</t>
  </si>
  <si>
    <t>JBLU-2016-Q3</t>
  </si>
  <si>
    <t>JBLU-2016-Q4</t>
  </si>
  <si>
    <t>JBLU-2017-Q1</t>
  </si>
  <si>
    <t>JBLU-2017-Q2</t>
  </si>
  <si>
    <t>JBLU-2017-Q3</t>
  </si>
  <si>
    <t>JBLU-2017-Q4</t>
  </si>
  <si>
    <t>JBLU-2018-Q1</t>
  </si>
  <si>
    <t>JBLU-2018-Q2</t>
  </si>
  <si>
    <t>JBLU-2018-Q3</t>
  </si>
  <si>
    <t>JBLU-2018-Q4</t>
  </si>
  <si>
    <t>JBLU-2019-Q1</t>
  </si>
  <si>
    <t>JBLU-2019-Q2</t>
  </si>
  <si>
    <t>JBLU-2019-Q3</t>
  </si>
  <si>
    <t>JBLU-2019-Q4</t>
  </si>
  <si>
    <t>JBLU-2020-Q1</t>
  </si>
  <si>
    <t>JBLU-2020-Q2</t>
  </si>
  <si>
    <t>JBLU-2020-Q3</t>
  </si>
  <si>
    <t>JBLU-2020-Q4</t>
  </si>
  <si>
    <t>JBLU-2021-Q1</t>
  </si>
  <si>
    <t>JBLU-2021-Q2</t>
  </si>
  <si>
    <t>JBLU-2021-Q3</t>
  </si>
  <si>
    <t>JBLU-2021-Q4</t>
  </si>
  <si>
    <t>JBLU-2022-Q1</t>
  </si>
  <si>
    <t>JBLU-2022-Q2</t>
  </si>
  <si>
    <t>JBLU-2022-Q3</t>
  </si>
  <si>
    <t>JBLU-2022-Q4</t>
  </si>
  <si>
    <t>JBLU-2023-Q1</t>
  </si>
  <si>
    <t>JBLU-2023-Q2</t>
  </si>
  <si>
    <t>JBLU-2023-Q3</t>
  </si>
  <si>
    <t>JBLU-2023-Q4</t>
  </si>
  <si>
    <t>JBLU-2024-Q1</t>
  </si>
  <si>
    <t>JBLU-2024-Q2</t>
  </si>
  <si>
    <t>JBLU-2024-Q3</t>
  </si>
  <si>
    <t>JBLU-2024-Q4</t>
  </si>
  <si>
    <t>JBLU-2025-Q1</t>
  </si>
  <si>
    <t>JBLU-2025-Q2</t>
  </si>
  <si>
    <t>JBLU-2025-Q3</t>
  </si>
  <si>
    <t>JBLU-2025-Q4</t>
  </si>
  <si>
    <t>JBLU-2026-Q1</t>
  </si>
  <si>
    <t>JBLU-2026-Q2</t>
  </si>
  <si>
    <t>JBLU-2026-Q3</t>
  </si>
  <si>
    <t>LUV-2015-Q1</t>
  </si>
  <si>
    <t>LUV-2015-Q2</t>
  </si>
  <si>
    <t>LUV-2015-Q3</t>
  </si>
  <si>
    <t>LUV-2015-Q4</t>
  </si>
  <si>
    <t>LUV-2016-Q1</t>
  </si>
  <si>
    <t>LUV-2016-Q2</t>
  </si>
  <si>
    <t>LUV-2016-Q3</t>
  </si>
  <si>
    <t>LUV-2016-Q4</t>
  </si>
  <si>
    <t>LUV-2017-Q1</t>
  </si>
  <si>
    <t>LUV-2017-Q2</t>
  </si>
  <si>
    <t>LUV-2017-Q3</t>
  </si>
  <si>
    <t>LUV-2017-Q4</t>
  </si>
  <si>
    <t>LUV-2018-Q1</t>
  </si>
  <si>
    <t>LUV-2018-Q2</t>
  </si>
  <si>
    <t>LUV-2018-Q3</t>
  </si>
  <si>
    <t>LUV-2018-Q4</t>
  </si>
  <si>
    <t>LUV-2019-Q1</t>
  </si>
  <si>
    <t>LUV-2019-Q2</t>
  </si>
  <si>
    <t>LUV-2019-Q3</t>
  </si>
  <si>
    <t>LUV-2019-Q4</t>
  </si>
  <si>
    <t>LUV-2020-Q1</t>
  </si>
  <si>
    <t>LUV-2020-Q2</t>
  </si>
  <si>
    <t>LUV-2020-Q3</t>
  </si>
  <si>
    <t>LUV-2020-Q4</t>
  </si>
  <si>
    <t>LUV-2021-Q1</t>
  </si>
  <si>
    <t>LUV-2021-Q2</t>
  </si>
  <si>
    <t>LUV-2021-Q3</t>
  </si>
  <si>
    <t>LUV-2021-Q4</t>
  </si>
  <si>
    <t>LUV-2022-Q1</t>
  </si>
  <si>
    <t>LUV-2022-Q2</t>
  </si>
  <si>
    <t>LUV-2022-Q3</t>
  </si>
  <si>
    <t>LUV-2022-Q4</t>
  </si>
  <si>
    <t>LUV-2023-Q1</t>
  </si>
  <si>
    <t>LUV-2023-Q2</t>
  </si>
  <si>
    <t>LUV-2023-Q3</t>
  </si>
  <si>
    <t>LUV-2023-Q4</t>
  </si>
  <si>
    <t>LUV-2024-Q1</t>
  </si>
  <si>
    <t>LUV-2024-Q2</t>
  </si>
  <si>
    <t>LUV-2024-Q3</t>
  </si>
  <si>
    <t>LUV-2024-Q4</t>
  </si>
  <si>
    <t>LUV-2025-Q1</t>
  </si>
  <si>
    <t>LUV-2025-Q2</t>
  </si>
  <si>
    <t>LUV-2025-Q3</t>
  </si>
  <si>
    <t>LUV-2025-Q4</t>
  </si>
  <si>
    <t>LUV-2026-Q1</t>
  </si>
  <si>
    <t>LUV-2026-Q2</t>
  </si>
  <si>
    <t>LUV-2026-Q3</t>
  </si>
  <si>
    <t>UAL-2015-Q1</t>
  </si>
  <si>
    <t>UAL-2015-Q2</t>
  </si>
  <si>
    <t>UAL-2015-Q3</t>
  </si>
  <si>
    <t>UAL-2015-Q4</t>
  </si>
  <si>
    <t>UAL-2016-Q1</t>
  </si>
  <si>
    <t>UAL-2016-Q2</t>
  </si>
  <si>
    <t>UAL-2016-Q3</t>
  </si>
  <si>
    <t>UAL-2016-Q4</t>
  </si>
  <si>
    <t>UAL-2017-Q1</t>
  </si>
  <si>
    <t>UAL-2017-Q2</t>
  </si>
  <si>
    <t>UAL-2017-Q3</t>
  </si>
  <si>
    <t>UAL-2017-Q4</t>
  </si>
  <si>
    <t>UAL-2018-Q1</t>
  </si>
  <si>
    <t>UAL-2018-Q2</t>
  </si>
  <si>
    <t>UAL-2018-Q3</t>
  </si>
  <si>
    <t>UAL-2018-Q4</t>
  </si>
  <si>
    <t>UAL-2019-Q1</t>
  </si>
  <si>
    <t>UAL-2019-Q2</t>
  </si>
  <si>
    <t>UAL-2019-Q3</t>
  </si>
  <si>
    <t>UAL-2019-Q4</t>
  </si>
  <si>
    <t>UAL-2020-Q1</t>
  </si>
  <si>
    <t>UAL-2020-Q2</t>
  </si>
  <si>
    <t>UAL-2020-Q3</t>
  </si>
  <si>
    <t>UAL-2020-Q4</t>
  </si>
  <si>
    <t>UAL-2021-Q1</t>
  </si>
  <si>
    <t>UAL-2021-Q2</t>
  </si>
  <si>
    <t>UAL-2021-Q3</t>
  </si>
  <si>
    <t>UAL-2021-Q4</t>
  </si>
  <si>
    <t>UAL-2022-Q1</t>
  </si>
  <si>
    <t>UAL-2022-Q2</t>
  </si>
  <si>
    <t>UAL-2022-Q3</t>
  </si>
  <si>
    <t>UAL-2022-Q4</t>
  </si>
  <si>
    <t>UAL-2023-Q1</t>
  </si>
  <si>
    <t>UAL-2023-Q2</t>
  </si>
  <si>
    <t>UAL-2023-Q3</t>
  </si>
  <si>
    <t>UAL-2023-Q4</t>
  </si>
  <si>
    <t>UAL-2024-Q1</t>
  </si>
  <si>
    <t>UAL-2024-Q2</t>
  </si>
  <si>
    <t>UAL-2024-Q3</t>
  </si>
  <si>
    <t>UAL-2024-Q4</t>
  </si>
  <si>
    <t>UAL-2025-Q1</t>
  </si>
  <si>
    <t>UAL-2025-Q2</t>
  </si>
  <si>
    <t>UAL-2025-Q3</t>
  </si>
  <si>
    <t>UAL-2025-Q4</t>
  </si>
  <si>
    <t>UAL-2026-Q1</t>
  </si>
  <si>
    <t>UAL-2026-Q2</t>
  </si>
  <si>
    <t>UAL-2026-Q3</t>
  </si>
  <si>
    <t>shares_bought</t>
  </si>
  <si>
    <t>value_today</t>
  </si>
  <si>
    <t>total_spent_musd</t>
  </si>
  <si>
    <t>total_shares</t>
  </si>
  <si>
    <t>value_today_musd</t>
  </si>
  <si>
    <t>gain_loss_musd</t>
  </si>
  <si>
    <t>avg_price_paid</t>
  </si>
  <si>
    <t>return_pct</t>
  </si>
  <si>
    <t>years_elapsed</t>
  </si>
  <si>
    <t>weighted_date</t>
  </si>
  <si>
    <t>avg_spend_date</t>
  </si>
  <si>
    <t>annualized_pct</t>
  </si>
  <si>
    <t>SPY</t>
  </si>
  <si>
    <t>SPY-2015-Q1</t>
  </si>
  <si>
    <t>SPY-2015-Q2</t>
  </si>
  <si>
    <t>SPY-2015-Q3</t>
  </si>
  <si>
    <t>SPY-2015-Q4</t>
  </si>
  <si>
    <t>SPY-2016-Q1</t>
  </si>
  <si>
    <t>SPY-2016-Q2</t>
  </si>
  <si>
    <t>SPY-2016-Q3</t>
  </si>
  <si>
    <t>SPY-2016-Q4</t>
  </si>
  <si>
    <t>SPY-2017-Q1</t>
  </si>
  <si>
    <t>SPY-2017-Q2</t>
  </si>
  <si>
    <t>SPY-2017-Q3</t>
  </si>
  <si>
    <t>SPY-2017-Q4</t>
  </si>
  <si>
    <t>SPY-2018-Q1</t>
  </si>
  <si>
    <t>SPY-2018-Q2</t>
  </si>
  <si>
    <t>SPY-2018-Q3</t>
  </si>
  <si>
    <t>SPY-2018-Q4</t>
  </si>
  <si>
    <t>SPY-2019-Q1</t>
  </si>
  <si>
    <t>SPY-2019-Q2</t>
  </si>
  <si>
    <t>SPY-2019-Q3</t>
  </si>
  <si>
    <t>SPY-2019-Q4</t>
  </si>
  <si>
    <t>SPY-2020-Q1</t>
  </si>
  <si>
    <t>SPY-2020-Q2</t>
  </si>
  <si>
    <t>SPY-2020-Q3</t>
  </si>
  <si>
    <t>SPY-2020-Q4</t>
  </si>
  <si>
    <t>SPY-2021-Q1</t>
  </si>
  <si>
    <t>SPY-2021-Q2</t>
  </si>
  <si>
    <t>SPY-2021-Q3</t>
  </si>
  <si>
    <t>SPY-2021-Q4</t>
  </si>
  <si>
    <t>SPY-2022-Q1</t>
  </si>
  <si>
    <t>SPY-2022-Q2</t>
  </si>
  <si>
    <t>SPY-2022-Q3</t>
  </si>
  <si>
    <t>SPY-2022-Q4</t>
  </si>
  <si>
    <t>SPY-2023-Q1</t>
  </si>
  <si>
    <t>SPY-2023-Q2</t>
  </si>
  <si>
    <t>SPY-2023-Q3</t>
  </si>
  <si>
    <t>SPY-2023-Q4</t>
  </si>
  <si>
    <t>SPY-2024-Q1</t>
  </si>
  <si>
    <t>SPY-2024-Q2</t>
  </si>
  <si>
    <t>SPY-2024-Q3</t>
  </si>
  <si>
    <t>SPY-2024-Q4</t>
  </si>
  <si>
    <t>SPY-2025-Q1</t>
  </si>
  <si>
    <t>SPY-2025-Q2</t>
  </si>
  <si>
    <t>SPY-2025-Q3</t>
  </si>
  <si>
    <t>SPY-2025-Q4</t>
  </si>
  <si>
    <t>SPY-2026-Q1</t>
  </si>
  <si>
    <t>SPY-2026-Q2</t>
  </si>
  <si>
    <t>SPY-2026-Q3</t>
  </si>
  <si>
    <t>spy_key</t>
  </si>
  <si>
    <t>cost_of_debt_pretax</t>
  </si>
  <si>
    <t>tax_rate</t>
  </si>
  <si>
    <t>cost_of_debt_aftertax</t>
  </si>
  <si>
    <t>spy_current_price</t>
  </si>
  <si>
    <t>spy_price</t>
  </si>
  <si>
    <t>spy_shares</t>
  </si>
  <si>
    <t>spy_value_today</t>
  </si>
  <si>
    <t>years_from_quarter</t>
  </si>
  <si>
    <t>debt_value_today</t>
  </si>
  <si>
    <t>spy_value_musd</t>
  </si>
  <si>
    <t>debt_value_musd</t>
  </si>
  <si>
    <t>vs_spy_musd</t>
  </si>
  <si>
    <t>vs_debt_musd</t>
  </si>
  <si>
    <t>is_active</t>
  </si>
  <si>
    <t>active_count</t>
  </si>
  <si>
    <t>even_spend</t>
  </si>
  <si>
    <t>even_shares</t>
  </si>
  <si>
    <t>even_value_today</t>
  </si>
  <si>
    <t>even_value_musd</t>
  </si>
  <si>
    <t>timing_alpha_musd</t>
  </si>
  <si>
    <t>timing_alpha_pct</t>
  </si>
  <si>
    <t>operating_income</t>
  </si>
  <si>
    <t>d_and_a</t>
  </si>
  <si>
    <t>lt_debt_noncurrent</t>
  </si>
  <si>
    <t>lt_debt_current</t>
  </si>
  <si>
    <t>lease_noncurrent</t>
  </si>
  <si>
    <t>lease_current</t>
  </si>
  <si>
    <t>cash</t>
  </si>
  <si>
    <t>short_term_investments</t>
  </si>
  <si>
    <t>ebitda</t>
  </si>
  <si>
    <t>total_debt</t>
  </si>
  <si>
    <t>liquid_assets</t>
  </si>
  <si>
    <t>net_debt</t>
  </si>
  <si>
    <t>net_debt_ebitda</t>
  </si>
  <si>
    <t>source</t>
  </si>
  <si>
    <t>FY2019 10-K, balance sheet + income statement</t>
  </si>
  <si>
    <t>FY2019 10-K; debt from long-term debt note</t>
  </si>
  <si>
    <t>no line item filed</t>
  </si>
  <si>
    <t>Weighted avg coupon, 2015-2019 10-K debt footnotes</t>
  </si>
  <si>
    <t>US federal statutory rate, post-2017</t>
  </si>
  <si>
    <t>Calculated from B1 and B2</t>
  </si>
  <si>
    <t>Yahoo Finance close, via yfinance</t>
  </si>
  <si>
    <t>Yahoo Finance, most recent trading day</t>
  </si>
  <si>
    <t>US Airline Share Repurchases: A Capital Allocation Scorecard</t>
  </si>
  <si>
    <t>Question</t>
  </si>
  <si>
    <t>Carriers</t>
  </si>
  <si>
    <t>American (AAL), Alaska (ALK), Delta (DAL), JetBlue (JBLU), Southwest (LUV), United (UAL)</t>
  </si>
  <si>
    <t>Data sources</t>
  </si>
  <si>
    <t>Repurchase dollars: SEC XBRL company-concept API, tag PaymentsForRepurchaseOfCommonStock, forms 10-K and 10-Q. Quarterly figures derived by differencing year-to-date cash flow statement amounts.</t>
  </si>
  <si>
    <t>Share prices: Yahoo Finance daily adjusted closes via yfinance, averaged across all trading days in each quarter. Adjusted for dividends and splits.</t>
  </si>
  <si>
    <t>Method</t>
  </si>
  <si>
    <t>Shares purchased = quarterly repurchase dollars divided by that quarter's average price.</t>
  </si>
  <si>
    <t>Value today = shares purchased times the closing price on the as-of date.</t>
  </si>
  <si>
    <t>Three benchmarks, each using the same dollars on the same dates:</t>
  </si>
  <si>
    <t>1. Even-spread schedule. Same total, divided equally across quarters where the carrier was actually active. Isolates timing from stock performance.</t>
  </si>
  <si>
    <t>2. Debt paydown. Dollars compounded forward at the after-tax cost of debt.</t>
  </si>
  <si>
    <t>3. S&amp;P 500. Dollars used to buy SPY at the same quarterly prices.</t>
  </si>
  <si>
    <t>Key assumptions</t>
  </si>
  <si>
    <t>Pre-tax cost of debt 5.0%, tax rate 21%. See the assumptions sheet.</t>
  </si>
  <si>
    <t>Quarterly average price is a proxy for actual execution price.</t>
  </si>
  <si>
    <t>Limitations</t>
  </si>
  <si>
    <t>Actual repurchase prices are disclosed monthly in Item 5 of each 10-Q and may differ from quarterly averages.</t>
  </si>
  <si>
    <t>The even-spread benchmark holds the decision to start and stop constant, so it tests allocation within a carrier's active window, not the decision to be active at all.</t>
  </si>
  <si>
    <t>The debt paydown benchmark is not meaningful for Southwest, which held net cash at the end of 2019.</t>
  </si>
  <si>
    <t>Blank cells mean not yet filed. Zeros mean no repurchases reported.</t>
  </si>
  <si>
    <t>Sheets</t>
  </si>
  <si>
    <t>buybacks — quarterly detail, one row per carrier-quarter, all calculations</t>
  </si>
  <si>
    <t>summary — one row per carrier, headline results and all three benchmarks</t>
  </si>
  <si>
    <t>leverage_2019 — balance sheet leverage at the end of 2019</t>
  </si>
  <si>
    <t>prices — quarterly average share prices</t>
  </si>
  <si>
    <t>current — closing prices on the as-of date</t>
  </si>
  <si>
    <t>assumptions — every judgment call, with sources</t>
  </si>
  <si>
    <t>Conventions</t>
  </si>
  <si>
    <t>Blue text is a typed input. Black text is a formula. All dollar figures in millions unless noted.</t>
  </si>
  <si>
    <t>As of</t>
  </si>
  <si>
    <t>Prices as of September 4, 2026. All results move with the market.</t>
  </si>
  <si>
    <t xml:space="preserve">Six US airlines spent $49.1 billion repurchasing their own shares between 2015 and 2026. </t>
  </si>
  <si>
    <t>Treating every repurchase as an investment, what return did that capital earn, and how does it compare to the alternatives available at the time?</t>
  </si>
  <si>
    <t>leverage_2019: FY2019 10-K balance sheets and income statements, entered manually.</t>
  </si>
  <si>
    <t>Findings</t>
  </si>
  <si>
    <t>$49.1bn spent, worth $55.4bn as of Sept 2026 — roughly 1% a year.</t>
  </si>
  <si>
    <t>Timing was not the problem: five of six carriers beat an even-spread benchmark.</t>
  </si>
  <si>
    <t>Four of six lost to simply repaying debt. All six lost to the S&amp;P 500.</t>
  </si>
  <si>
    <t>American: 5.2x leverage at YE2019, the only negative timing alpha, $13.5bn destroyed.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</si>
</sst>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&quot;$&quot;#,##0"/>
    <numFmt numFmtId="165" formatCode="0.00_);[Red]\(0.00\)"/>
    <numFmt numFmtId="166" formatCode="0.00\x"/>
  </numFmts>
  <fonts count="2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  <font>
      <sz val="10"/>
      <color theme="1"/>
      <name val="Arial Unicode MS"/>
      <family val="2"/>
    </font>
    <font>
      <sz val="12"/>
      <color rgb="FF0070C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6"/>
      <color theme="1"/>
      <name val="Aptos Narrow"/>
      <scheme val="minor"/>
    </font>
    <font>
      <b/>
      <sz val="12"/>
      <color theme="1"/>
      <name val="Aptos Narrow (Body)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14" fontId="0" fillId="0" borderId="0" xfId="0" applyNumberFormat="1"/>
    <xf numFmtId="0" fontId="18" fillId="0" borderId="0" xfId="0" applyFont="1"/>
    <xf numFmtId="44" fontId="0" fillId="0" borderId="0" xfId="1" applyFont="1" applyAlignment="1">
      <alignment horizontal="right"/>
    </xf>
    <xf numFmtId="9" fontId="0" fillId="0" borderId="0" xfId="2" applyFont="1"/>
    <xf numFmtId="4" fontId="0" fillId="0" borderId="0" xfId="0" applyNumberFormat="1"/>
    <xf numFmtId="3" fontId="0" fillId="0" borderId="0" xfId="0" applyNumberFormat="1"/>
    <xf numFmtId="164" fontId="0" fillId="0" borderId="0" xfId="0" applyNumberFormat="1"/>
    <xf numFmtId="164" fontId="0" fillId="0" borderId="0" xfId="1" applyNumberFormat="1" applyFont="1"/>
    <xf numFmtId="39" fontId="0" fillId="0" borderId="0" xfId="0" applyNumberFormat="1"/>
    <xf numFmtId="2" fontId="0" fillId="0" borderId="0" xfId="0" applyNumberFormat="1"/>
    <xf numFmtId="165" fontId="0" fillId="0" borderId="0" xfId="0" applyNumberFormat="1"/>
    <xf numFmtId="165" fontId="17" fillId="0" borderId="0" xfId="0" applyNumberFormat="1" applyFont="1"/>
    <xf numFmtId="0" fontId="19" fillId="0" borderId="0" xfId="0" applyFont="1"/>
    <xf numFmtId="0" fontId="20" fillId="0" borderId="0" xfId="0" applyFont="1"/>
    <xf numFmtId="10" fontId="20" fillId="0" borderId="0" xfId="0" applyNumberFormat="1" applyFont="1"/>
    <xf numFmtId="9" fontId="20" fillId="0" borderId="0" xfId="0" applyNumberFormat="1" applyFont="1"/>
    <xf numFmtId="14" fontId="20" fillId="0" borderId="0" xfId="0" applyNumberFormat="1" applyFont="1"/>
    <xf numFmtId="0" fontId="17" fillId="0" borderId="0" xfId="0" applyFont="1"/>
    <xf numFmtId="3" fontId="20" fillId="0" borderId="0" xfId="0" applyNumberFormat="1" applyFont="1"/>
    <xf numFmtId="166" fontId="0" fillId="0" borderId="0" xfId="0" applyNumberFormat="1"/>
    <xf numFmtId="0" fontId="21" fillId="0" borderId="0" xfId="0" applyFont="1"/>
    <xf numFmtId="0" fontId="0" fillId="0" borderId="0" xfId="0" applyFont="1"/>
    <xf numFmtId="0" fontId="22" fillId="0" borderId="0" xfId="0" applyFont="1" applyAlignment="1">
      <alignment horizontal="left" wrapText="1"/>
    </xf>
    <xf numFmtId="0" fontId="23" fillId="0" borderId="0" xfId="0" applyFont="1" applyAlignment="1">
      <alignment horizontal="left" wrapText="1"/>
    </xf>
    <xf numFmtId="0" fontId="21" fillId="0" borderId="0" xfId="0" applyFont="1" applyAlignment="1">
      <alignment wrapText="1"/>
    </xf>
    <xf numFmtId="0" fontId="0" fillId="0" borderId="0" xfId="0" applyFont="1" applyAlignment="1">
      <alignment wrapText="1"/>
    </xf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" xfId="1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6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Aptos Narrow"/>
        <family val="2"/>
        <scheme val="minor"/>
      </font>
      <numFmt numFmtId="19" formatCode="m/d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19" formatCode="m/d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numFmt numFmtId="7" formatCode="#,##0.00_);\(#,##0.00\)"/>
    </dxf>
    <dxf>
      <numFmt numFmtId="3" formatCode="#,##0"/>
    </dxf>
    <dxf>
      <numFmt numFmtId="7" formatCode="#,##0.00_);\(#,##0.00\)"/>
    </dxf>
    <dxf>
      <numFmt numFmtId="7" formatCode="#,##0.00_);\(#,##0.00\)"/>
    </dxf>
    <dxf>
      <numFmt numFmtId="3" formatCode="#,##0"/>
    </dxf>
    <dxf>
      <numFmt numFmtId="3" formatCode="#,##0"/>
    </dxf>
    <dxf>
      <numFmt numFmtId="2" formatCode="0.00"/>
    </dxf>
    <dxf>
      <numFmt numFmtId="19" formatCode="m/d/yy"/>
    </dxf>
    <dxf>
      <numFmt numFmtId="164" formatCode="&quot;$&quot;#,##0"/>
    </dxf>
    <dxf>
      <numFmt numFmtId="165" formatCode="0.00_);[Red]\(0.00\)"/>
    </dxf>
    <dxf>
      <numFmt numFmtId="7" formatCode="#,##0.00_);\(#,##0.00\)"/>
    </dxf>
    <dxf>
      <numFmt numFmtId="3" formatCode="#,##0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numFmt numFmtId="166" formatCode="0.00\x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strike val="0"/>
        <outline val="0"/>
        <shadow val="0"/>
        <u val="none"/>
        <vertAlign val="baseline"/>
        <sz val="12"/>
        <color rgb="FF0070C0"/>
        <name val="Aptos Narrow"/>
        <family val="2"/>
        <scheme val="minor"/>
      </font>
      <numFmt numFmtId="3" formatCode="#,##0"/>
    </dxf>
    <dxf>
      <font>
        <strike val="0"/>
        <outline val="0"/>
        <shadow val="0"/>
        <u val="none"/>
        <vertAlign val="baseline"/>
        <sz val="12"/>
        <color rgb="FF0070C0"/>
        <name val="Aptos Narrow"/>
        <family val="2"/>
        <scheme val="minor"/>
      </font>
      <numFmt numFmtId="3" formatCode="#,##0"/>
    </dxf>
    <dxf>
      <font>
        <strike val="0"/>
        <outline val="0"/>
        <shadow val="0"/>
        <u val="none"/>
        <vertAlign val="baseline"/>
        <sz val="12"/>
        <color rgb="FF0070C0"/>
        <name val="Aptos Narrow"/>
        <family val="2"/>
        <scheme val="minor"/>
      </font>
      <numFmt numFmtId="3" formatCode="#,##0"/>
    </dxf>
    <dxf>
      <font>
        <strike val="0"/>
        <outline val="0"/>
        <shadow val="0"/>
        <u val="none"/>
        <vertAlign val="baseline"/>
        <sz val="12"/>
        <color rgb="FF0070C0"/>
        <name val="Aptos Narrow"/>
        <family val="2"/>
        <scheme val="minor"/>
      </font>
      <numFmt numFmtId="3" formatCode="#,##0"/>
    </dxf>
    <dxf>
      <font>
        <strike val="0"/>
        <outline val="0"/>
        <shadow val="0"/>
        <u val="none"/>
        <vertAlign val="baseline"/>
        <sz val="12"/>
        <color rgb="FF0070C0"/>
        <name val="Aptos Narrow"/>
        <family val="2"/>
        <scheme val="minor"/>
      </font>
      <numFmt numFmtId="3" formatCode="#,##0"/>
    </dxf>
    <dxf>
      <font>
        <strike val="0"/>
        <outline val="0"/>
        <shadow val="0"/>
        <u val="none"/>
        <vertAlign val="baseline"/>
        <sz val="12"/>
        <color rgb="FF0070C0"/>
        <name val="Aptos Narrow"/>
        <family val="2"/>
        <scheme val="minor"/>
      </font>
      <numFmt numFmtId="3" formatCode="#,##0"/>
    </dxf>
    <dxf>
      <font>
        <strike val="0"/>
        <outline val="0"/>
        <shadow val="0"/>
        <u val="none"/>
        <vertAlign val="baseline"/>
        <sz val="12"/>
        <color rgb="FF0070C0"/>
        <name val="Aptos Narrow"/>
        <family val="2"/>
        <scheme val="minor"/>
      </font>
      <numFmt numFmtId="3" formatCode="#,##0"/>
    </dxf>
    <dxf>
      <font>
        <strike val="0"/>
        <outline val="0"/>
        <shadow val="0"/>
        <u val="none"/>
        <vertAlign val="baseline"/>
        <sz val="12"/>
        <color rgb="FF0070C0"/>
        <name val="Aptos Narrow"/>
        <family val="2"/>
        <scheme val="minor"/>
      </font>
      <numFmt numFmtId="3" formatCode="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2"/>
        <color rgb="FF0070C0"/>
        <name val="Aptos Narrow"/>
        <family val="2"/>
        <scheme val="minor"/>
      </font>
    </dxf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560853-F89C-0944-A5DB-ED9FF098ABEA}" name="Table1" displayName="Table1" ref="A1:X277" totalsRowShown="0">
  <autoFilter ref="A1:X277" xr:uid="{7E560853-F89C-0944-A5DB-ED9FF098ABEA}">
    <filterColumn colId="1">
      <filters>
        <filter val="2015"/>
        <filter val="2016"/>
        <filter val="2018"/>
        <filter val="2019"/>
        <filter val="2020"/>
        <filter val="2021"/>
        <filter val="2022"/>
        <filter val="2023"/>
        <filter val="2024"/>
        <filter val="2025"/>
        <filter val="2026"/>
      </filters>
    </filterColumn>
  </autoFilter>
  <tableColumns count="24">
    <tableColumn id="1" xr3:uid="{2406E590-8F15-0B4E-A29D-D2FB1BBF87EB}" name="ticker"/>
    <tableColumn id="2" xr3:uid="{65112933-D1C2-8B4B-9B23-F86DA7FF40F4}" name="fiscal_year"/>
    <tableColumn id="3" xr3:uid="{705E2AF6-1D2B-9C4E-A498-E8442B08F91C}" name="quarter"/>
    <tableColumn id="4" xr3:uid="{2E7866AC-F7A8-9148-ADB8-29D35B395F46}" name="period_end" dataDxfId="59"/>
    <tableColumn id="5" xr3:uid="{CF2E0A6C-2F1A-1A48-86B6-85031B26C8BB}" name="buyback_musd" dataDxfId="58"/>
    <tableColumn id="6" xr3:uid="{D8591207-5235-FA48-B8B5-23C78E11AB04}" name="method"/>
    <tableColumn id="7" xr3:uid="{1D73A331-E794-0A42-B134-DF920FA78893}" name="note" dataDxfId="57">
      <calculatedColumnFormula>IF(F2&lt;&gt;"missing","",IF(D2&gt;DATE(2026,6,30),"not yet filed","no repurchases reported"))</calculatedColumnFormula>
    </tableColumn>
    <tableColumn id="9" xr3:uid="{FD8E69F1-4750-AD4A-B359-4034D3091035}" name="key" dataDxfId="56">
      <calculatedColumnFormula>A2&amp;"-"&amp;B2&amp;"-"&amp;C2</calculatedColumnFormula>
    </tableColumn>
    <tableColumn id="10" xr3:uid="{5279CF4A-E2A5-4F41-96A5-ABBB4DAC7A93}" name="avg_price" dataDxfId="55" dataCellStyle="Currency">
      <calculatedColumnFormula>_xlfn.XLOOKUP(H2,prices!A:A,prices!F:F,"no match")</calculatedColumnFormula>
    </tableColumn>
    <tableColumn id="11" xr3:uid="{7F67FD62-BF15-A44F-84B0-CC278457A3E5}" name="current_price" dataDxfId="54">
      <calculatedColumnFormula>_xlfn.XLOOKUP(A2,current!$A:$A,current!$B:$B,"no match")</calculatedColumnFormula>
    </tableColumn>
    <tableColumn id="12" xr3:uid="{D8CD2EA1-F8CA-6E42-B603-178AFCC21E99}" name="shares_bought" dataDxfId="53">
      <calculatedColumnFormula>IF(E2="","",E2*1000000/I2)</calculatedColumnFormula>
    </tableColumn>
    <tableColumn id="13" xr3:uid="{2349077C-CE66-F744-B77A-BC50642E6EB1}" name="value_today" dataDxfId="52">
      <calculatedColumnFormula>IF(K2="","",K2*J2)</calculatedColumnFormula>
    </tableColumn>
    <tableColumn id="14" xr3:uid="{A13B9375-0C84-DB48-8107-3C12442FD376}" name="weighted_date" dataDxfId="51">
      <calculatedColumnFormula>IF(E2="","",E2*D2)</calculatedColumnFormula>
    </tableColumn>
    <tableColumn id="15" xr3:uid="{363F0159-5C78-6F45-8F54-C0BA559CB2A2}" name="spy_key" dataDxfId="50">
      <calculatedColumnFormula>"SPY-"&amp;B2&amp;"-"&amp;C2</calculatedColumnFormula>
    </tableColumn>
    <tableColumn id="16" xr3:uid="{C245BAB1-CDA1-DD41-96C5-656BEBDD8211}" name="spy_price" dataDxfId="49">
      <calculatedColumnFormula>_xlfn.XLOOKUP(N2,prices!$A:$A,prices!$F:$F,"no match")</calculatedColumnFormula>
    </tableColumn>
    <tableColumn id="17" xr3:uid="{FDAD14D7-25D7-0849-9B9C-8C012CBCEC37}" name="spy_shares" dataDxfId="48">
      <calculatedColumnFormula>IF(E2="","",E2*1000000/O2)</calculatedColumnFormula>
    </tableColumn>
    <tableColumn id="18" xr3:uid="{C303E0EA-62C3-0E4A-9B58-A70304832C6B}" name="spy_value_today" dataDxfId="47">
      <calculatedColumnFormula>IF(P2="","",P2*assumptions!$B$4)</calculatedColumnFormula>
    </tableColumn>
    <tableColumn id="19" xr3:uid="{A5232200-6FB4-FE4C-9829-366EE9B3692C}" name="years_from_quarter" dataDxfId="46">
      <calculatedColumnFormula>IF(E2="","",(TODAY()-D2)/365.25)</calculatedColumnFormula>
    </tableColumn>
    <tableColumn id="20" xr3:uid="{3E343F7F-6AB0-3D4C-9388-A2C7CE940123}" name="debt_value_today" dataDxfId="45">
      <calculatedColumnFormula>IF(E2="","",E2*1000000*(1+assumptions!$B$3)^R2)</calculatedColumnFormula>
    </tableColumn>
    <tableColumn id="21" xr3:uid="{BF0E58E1-75FB-7547-941C-25035C5F34C2}" name="is_active" dataDxfId="44">
      <calculatedColumnFormula>IF(E2="",0,IF(E2&gt;0,1,0))</calculatedColumnFormula>
    </tableColumn>
    <tableColumn id="22" xr3:uid="{86C78719-08AE-D540-96E9-3F1271FFCCF5}" name="active_count" dataDxfId="43">
      <calculatedColumnFormula>SUMIFS($T:$T,$A:$A,$A2)</calculatedColumnFormula>
    </tableColumn>
    <tableColumn id="23" xr3:uid="{C477BEA6-D489-3B45-83F3-865082028F51}" name="even_spend" dataDxfId="42">
      <calculatedColumnFormula>IF(T2=0,0,SUMIFS($E:$E,$A:$A,$A2)/U2)</calculatedColumnFormula>
    </tableColumn>
    <tableColumn id="24" xr3:uid="{6ABBA66C-4EBD-A445-A3FE-238F73142252}" name="even_shares" dataDxfId="41">
      <calculatedColumnFormula>IF(V2=0,0,V2*1000000/I2)</calculatedColumnFormula>
    </tableColumn>
    <tableColumn id="25" xr3:uid="{5072BC1B-8E0B-3746-A215-F7E83717A497}" name="even_value_today" dataDxfId="40">
      <calculatedColumnFormula>IF(W2=0,0,W2*J2)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B288B1C-E29D-D345-ABCA-4A3C64FFC836}" name="Table4" displayName="Table4" ref="A1:Q7" totalsRowShown="0">
  <autoFilter ref="A1:Q7" xr:uid="{8B288B1C-E29D-D345-ABCA-4A3C64FFC836}"/>
  <tableColumns count="17">
    <tableColumn id="1" xr3:uid="{F079BD91-294B-2740-AE09-C82524A906CB}" name="ticker" dataDxfId="26"/>
    <tableColumn id="2" xr3:uid="{8BB63FF9-BCC7-9D4B-9108-8E1280B06F7E}" name="total_spent_musd" dataDxfId="25">
      <calculatedColumnFormula>SUMIFS(buybacks!$E:$E,buybacks!$A:$A,$A2)</calculatedColumnFormula>
    </tableColumn>
    <tableColumn id="3" xr3:uid="{A8551EF4-EDD7-5C47-80D0-9B6DC8D9954D}" name="total_shares" dataDxfId="24">
      <calculatedColumnFormula>SUMIFS(buybacks!$K:$K,buybacks!$A:$A,$A2)</calculatedColumnFormula>
    </tableColumn>
    <tableColumn id="4" xr3:uid="{BD415283-CA32-F44C-A874-0ADEB609AD15}" name="value_today_musd" dataDxfId="23">
      <calculatedColumnFormula>SUMIFS(buybacks!$L:$L,buybacks!$A:$A,$A2)/1000000</calculatedColumnFormula>
    </tableColumn>
    <tableColumn id="5" xr3:uid="{8A9CFA93-E8AC-6E48-8FB4-08E758EE7F1C}" name="gain_loss_musd" dataDxfId="22">
      <calculatedColumnFormula>D2-B2</calculatedColumnFormula>
    </tableColumn>
    <tableColumn id="6" xr3:uid="{80111306-9925-F44A-AC0A-6ABF6C11AD24}" name="avg_price_paid" dataDxfId="21" dataCellStyle="Currency">
      <calculatedColumnFormula>B2*1000000/C2</calculatedColumnFormula>
    </tableColumn>
    <tableColumn id="7" xr3:uid="{F940CF8B-1833-3F48-BFC6-37C0A9598FBF}" name="return_pct" dataCellStyle="Percent">
      <calculatedColumnFormula>D2/B2-1</calculatedColumnFormula>
    </tableColumn>
    <tableColumn id="8" xr3:uid="{EFA755D9-A063-1E4E-BA6F-CCEBE47B768A}" name="avg_spend_date" dataDxfId="20">
      <calculatedColumnFormula>SUMIFS(buybacks!$M:$M,buybacks!$A:$A,$A2)/B2</calculatedColumnFormula>
    </tableColumn>
    <tableColumn id="9" xr3:uid="{885BA965-2292-F44B-B1B6-B2DAEFD0D13C}" name="years_elapsed" dataDxfId="19">
      <calculatedColumnFormula>(TODAY()-H2)/365.25</calculatedColumnFormula>
    </tableColumn>
    <tableColumn id="10" xr3:uid="{099A69B4-D5B7-3D49-80D4-ED394F351AD1}" name="annualized_pct" dataCellStyle="Percent">
      <calculatedColumnFormula>(D2/B2)^(1/I2)-1</calculatedColumnFormula>
    </tableColumn>
    <tableColumn id="11" xr3:uid="{9D866F09-9F78-6144-AF47-69586DC3928E}" name="spy_value_musd" dataDxfId="18">
      <calculatedColumnFormula>SUMIFS(buybacks!$Q:$Q,buybacks!$A:$A,$A2)/1000000</calculatedColumnFormula>
    </tableColumn>
    <tableColumn id="12" xr3:uid="{41EF4CF4-F39C-184B-B64D-729D7BD4DC1B}" name="debt_value_musd" dataDxfId="17">
      <calculatedColumnFormula>SUMIFS(buybacks!$S:$S,buybacks!$A:$A,$A2)/1000000</calculatedColumnFormula>
    </tableColumn>
    <tableColumn id="13" xr3:uid="{D9E8A6B3-861E-3049-94C4-4F1EF001C913}" name="vs_spy_musd" dataDxfId="16">
      <calculatedColumnFormula>D2-K2</calculatedColumnFormula>
    </tableColumn>
    <tableColumn id="14" xr3:uid="{7A213994-2543-3B4C-BA50-BCB906D0C36B}" name="vs_debt_musd" dataDxfId="15">
      <calculatedColumnFormula>D2-L2</calculatedColumnFormula>
    </tableColumn>
    <tableColumn id="15" xr3:uid="{2D1373ED-4599-4540-AF83-1BDFFFEAE0B3}" name="even_value_musd" dataDxfId="14">
      <calculatedColumnFormula>SUMIFS(buybacks!$X:$X,buybacks!$A:$A,$A2)/1000000</calculatedColumnFormula>
    </tableColumn>
    <tableColumn id="16" xr3:uid="{C6D806C3-FCC3-EF47-BE88-72FACD911D55}" name="timing_alpha_musd" dataDxfId="13">
      <calculatedColumnFormula>D2-O2</calculatedColumnFormula>
    </tableColumn>
    <tableColumn id="17" xr3:uid="{B07FC413-A43D-584B-9E46-E0D6A438196D}" name="timing_alpha_pct" dataCellStyle="Percent">
      <calculatedColumnFormula>D2/O2-1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EA4EA7D-B1CB-BB4C-8490-D468BF1D5621}" name="Table16" displayName="Table16" ref="A1:O7" totalsRowShown="0">
  <autoFilter ref="A1:O7" xr:uid="{4EA4EA7D-B1CB-BB4C-8490-D468BF1D5621}"/>
  <tableColumns count="15">
    <tableColumn id="1" xr3:uid="{F209E38A-3C79-6941-BD48-8DD0AFCB4CDE}" name="ticker"/>
    <tableColumn id="2" xr3:uid="{95AD1949-7B61-354B-ABE5-E5C036C15269}" name="operating_income" dataDxfId="39"/>
    <tableColumn id="3" xr3:uid="{85C4B45E-5B5D-C44D-9F19-149C472553A3}" name="d_and_a" dataDxfId="38"/>
    <tableColumn id="4" xr3:uid="{1B5ECCA3-35CC-3A42-A82A-27C9CC2DA55D}" name="lt_debt_noncurrent" dataDxfId="37"/>
    <tableColumn id="5" xr3:uid="{20FF4C1E-BB72-5A41-AF29-3390BF31E3C5}" name="lt_debt_current" dataDxfId="36"/>
    <tableColumn id="6" xr3:uid="{FC6E7A44-7A8C-DE48-BB07-154419B62F09}" name="lease_noncurrent" dataDxfId="35"/>
    <tableColumn id="7" xr3:uid="{12042FAE-73C4-4442-BB7F-E640F484FDBF}" name="lease_current" dataDxfId="34"/>
    <tableColumn id="8" xr3:uid="{448DD633-AB72-4540-8AFF-879534166A72}" name="cash" dataDxfId="33"/>
    <tableColumn id="9" xr3:uid="{AEB8114F-E866-354D-93AB-B2C33FD15E21}" name="short_term_investments" dataDxfId="32"/>
    <tableColumn id="10" xr3:uid="{73CFAFA4-C8F8-924F-B22C-52545A5168AC}" name="ebitda" dataDxfId="31">
      <calculatedColumnFormula>B2+C2</calculatedColumnFormula>
    </tableColumn>
    <tableColumn id="11" xr3:uid="{8637C9B5-1760-D845-A669-C5F4AFFBE496}" name="total_debt" dataDxfId="30">
      <calculatedColumnFormula>D2+E2+F2+G2</calculatedColumnFormula>
    </tableColumn>
    <tableColumn id="12" xr3:uid="{A91CABA3-7138-174F-B4E1-F7DED16AADFC}" name="liquid_assets" dataDxfId="29">
      <calculatedColumnFormula>H2+I2</calculatedColumnFormula>
    </tableColumn>
    <tableColumn id="13" xr3:uid="{4A08E4BB-0C5E-D146-83E1-82A224A005A4}" name="net_debt" dataDxfId="28">
      <calculatedColumnFormula>K2-L2</calculatedColumnFormula>
    </tableColumn>
    <tableColumn id="14" xr3:uid="{71D2B823-7174-054E-9AED-904C7070753A}" name="net_debt_ebitda" dataDxfId="27">
      <calculatedColumnFormula>M2/J2</calculatedColumnFormula>
    </tableColumn>
    <tableColumn id="15" xr3:uid="{C50B0D86-2E52-B246-A57F-8114C8FFEEA6}" name="sour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776329-5884-9641-BD16-09EEC17C8ACE}" name="Table2" displayName="Table2" ref="A1:H330" totalsRowShown="0" headerRowDxfId="12" dataDxfId="11">
  <autoFilter ref="A1:H330" xr:uid="{17776329-5884-9641-BD16-09EEC17C8ACE}"/>
  <tableColumns count="8">
    <tableColumn id="1" xr3:uid="{35E020E6-BD95-0544-917A-047F0C84297E}" name="key" dataDxfId="10"/>
    <tableColumn id="2" xr3:uid="{7A43C78D-5591-284B-A29B-B0F6777ECE02}" name="ticker" dataDxfId="9"/>
    <tableColumn id="3" xr3:uid="{3DDA9383-EDB5-D847-906D-8D82C9C7CBE0}" name="fiscal_year" dataDxfId="8"/>
    <tableColumn id="4" xr3:uid="{DED8D5D0-D2C1-914C-AE85-97A119466A59}" name="quarter" dataDxfId="7"/>
    <tableColumn id="5" xr3:uid="{1A1FCA89-27C2-4E48-9297-8989688E3F4D}" name="period_end" dataDxfId="6"/>
    <tableColumn id="6" xr3:uid="{94896C67-7DD6-7741-A00B-5BDB92D30726}" name="avg_price" dataDxfId="5"/>
    <tableColumn id="7" xr3:uid="{8C8A53ED-8708-CF4B-BE2A-5652A4D639C2}" name="trading_days" dataDxfId="4"/>
    <tableColumn id="8" xr3:uid="{EE682508-EDD3-4D45-9E7A-F627C68AB1DF}" name="complete_quarter" dataDxfId="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931D51A-03D3-5449-8B9D-9DB967AF4EF4}" name="Table3" displayName="Table3" ref="A1:C8" totalsRowShown="0">
  <autoFilter ref="A1:C8" xr:uid="{B931D51A-03D3-5449-8B9D-9DB967AF4EF4}"/>
  <tableColumns count="3">
    <tableColumn id="1" xr3:uid="{F64797D8-21AF-1547-8BE7-B8D418D6B614}" name="ticker" dataDxfId="2"/>
    <tableColumn id="2" xr3:uid="{CC7AAA73-D900-5E45-98C7-A182391EF89D}" name="current_price" dataDxfId="1"/>
    <tableColumn id="3" xr3:uid="{A236A5B9-7D55-5842-B2D5-D1749DC372D8}" name="as_of_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E3F54-3ED8-0847-BCD1-D3C87E598B46}">
  <dimension ref="A1:A51"/>
  <sheetViews>
    <sheetView showGridLines="0" tabSelected="1" zoomScale="125" zoomScaleNormal="125" workbookViewId="0">
      <selection activeCell="A17" sqref="A17"/>
    </sheetView>
  </sheetViews>
  <sheetFormatPr baseColWidth="10" defaultRowHeight="16" x14ac:dyDescent="0.2"/>
  <cols>
    <col min="1" max="1" width="121" style="26" customWidth="1"/>
    <col min="2" max="16384" width="10.83203125" style="22"/>
  </cols>
  <sheetData>
    <row r="1" spans="1:1" ht="29" customHeight="1" x14ac:dyDescent="0.3">
      <c r="A1" s="23" t="s">
        <v>411</v>
      </c>
    </row>
    <row r="2" spans="1:1" x14ac:dyDescent="0.2">
      <c r="A2" s="24"/>
    </row>
    <row r="3" spans="1:1" ht="17" x14ac:dyDescent="0.2">
      <c r="A3" s="25" t="s">
        <v>412</v>
      </c>
    </row>
    <row r="4" spans="1:1" ht="17" x14ac:dyDescent="0.2">
      <c r="A4" s="26" t="s">
        <v>444</v>
      </c>
    </row>
    <row r="5" spans="1:1" ht="17" x14ac:dyDescent="0.2">
      <c r="A5" s="26" t="s">
        <v>445</v>
      </c>
    </row>
    <row r="7" spans="1:1" x14ac:dyDescent="0.2">
      <c r="A7" s="21" t="s">
        <v>447</v>
      </c>
    </row>
    <row r="8" spans="1:1" x14ac:dyDescent="0.2">
      <c r="A8" t="s">
        <v>448</v>
      </c>
    </row>
    <row r="9" spans="1:1" x14ac:dyDescent="0.2">
      <c r="A9" t="s">
        <v>449</v>
      </c>
    </row>
    <row r="10" spans="1:1" x14ac:dyDescent="0.2">
      <c r="A10" t="s">
        <v>450</v>
      </c>
    </row>
    <row r="11" spans="1:1" x14ac:dyDescent="0.2">
      <c r="A11" t="s">
        <v>451</v>
      </c>
    </row>
    <row r="13" spans="1:1" ht="17" x14ac:dyDescent="0.2">
      <c r="A13" s="25" t="s">
        <v>413</v>
      </c>
    </row>
    <row r="14" spans="1:1" ht="17" x14ac:dyDescent="0.2">
      <c r="A14" s="26" t="s">
        <v>414</v>
      </c>
    </row>
    <row r="16" spans="1:1" ht="17" x14ac:dyDescent="0.2">
      <c r="A16" s="25" t="s">
        <v>415</v>
      </c>
    </row>
    <row r="17" spans="1:1" ht="34" x14ac:dyDescent="0.2">
      <c r="A17" s="26" t="s">
        <v>416</v>
      </c>
    </row>
    <row r="18" spans="1:1" ht="17" x14ac:dyDescent="0.2">
      <c r="A18" s="26" t="s">
        <v>417</v>
      </c>
    </row>
    <row r="19" spans="1:1" ht="17" x14ac:dyDescent="0.2">
      <c r="A19" s="26" t="s">
        <v>446</v>
      </c>
    </row>
    <row r="21" spans="1:1" ht="17" x14ac:dyDescent="0.2">
      <c r="A21" s="25" t="s">
        <v>418</v>
      </c>
    </row>
    <row r="22" spans="1:1" ht="17" x14ac:dyDescent="0.2">
      <c r="A22" s="26" t="s">
        <v>419</v>
      </c>
    </row>
    <row r="23" spans="1:1" ht="17" x14ac:dyDescent="0.2">
      <c r="A23" s="26" t="s">
        <v>420</v>
      </c>
    </row>
    <row r="24" spans="1:1" ht="17" x14ac:dyDescent="0.2">
      <c r="A24" s="26" t="s">
        <v>421</v>
      </c>
    </row>
    <row r="25" spans="1:1" ht="17" x14ac:dyDescent="0.2">
      <c r="A25" s="26" t="s">
        <v>422</v>
      </c>
    </row>
    <row r="26" spans="1:1" ht="17" x14ac:dyDescent="0.2">
      <c r="A26" s="26" t="s">
        <v>423</v>
      </c>
    </row>
    <row r="27" spans="1:1" ht="17" x14ac:dyDescent="0.2">
      <c r="A27" s="26" t="s">
        <v>424</v>
      </c>
    </row>
    <row r="29" spans="1:1" ht="17" x14ac:dyDescent="0.2">
      <c r="A29" s="25" t="s">
        <v>425</v>
      </c>
    </row>
    <row r="30" spans="1:1" ht="17" x14ac:dyDescent="0.2">
      <c r="A30" s="26" t="s">
        <v>426</v>
      </c>
    </row>
    <row r="31" spans="1:1" ht="17" x14ac:dyDescent="0.2">
      <c r="A31" s="26" t="s">
        <v>427</v>
      </c>
    </row>
    <row r="33" spans="1:1" ht="17" x14ac:dyDescent="0.2">
      <c r="A33" s="25" t="s">
        <v>428</v>
      </c>
    </row>
    <row r="34" spans="1:1" ht="17" x14ac:dyDescent="0.2">
      <c r="A34" s="26" t="s">
        <v>429</v>
      </c>
    </row>
    <row r="35" spans="1:1" ht="17" x14ac:dyDescent="0.2">
      <c r="A35" s="26" t="s">
        <v>430</v>
      </c>
    </row>
    <row r="36" spans="1:1" ht="17" x14ac:dyDescent="0.2">
      <c r="A36" s="26" t="s">
        <v>431</v>
      </c>
    </row>
    <row r="37" spans="1:1" ht="17" x14ac:dyDescent="0.2">
      <c r="A37" s="26" t="s">
        <v>432</v>
      </c>
    </row>
    <row r="39" spans="1:1" ht="17" x14ac:dyDescent="0.2">
      <c r="A39" s="25" t="s">
        <v>433</v>
      </c>
    </row>
    <row r="40" spans="1:1" ht="17" x14ac:dyDescent="0.2">
      <c r="A40" s="26" t="s">
        <v>434</v>
      </c>
    </row>
    <row r="41" spans="1:1" ht="17" x14ac:dyDescent="0.2">
      <c r="A41" s="26" t="s">
        <v>435</v>
      </c>
    </row>
    <row r="42" spans="1:1" ht="17" x14ac:dyDescent="0.2">
      <c r="A42" s="26" t="s">
        <v>436</v>
      </c>
    </row>
    <row r="43" spans="1:1" ht="17" x14ac:dyDescent="0.2">
      <c r="A43" s="26" t="s">
        <v>437</v>
      </c>
    </row>
    <row r="44" spans="1:1" ht="17" x14ac:dyDescent="0.2">
      <c r="A44" s="26" t="s">
        <v>438</v>
      </c>
    </row>
    <row r="45" spans="1:1" ht="17" x14ac:dyDescent="0.2">
      <c r="A45" s="26" t="s">
        <v>439</v>
      </c>
    </row>
    <row r="47" spans="1:1" ht="17" x14ac:dyDescent="0.2">
      <c r="A47" s="25" t="s">
        <v>440</v>
      </c>
    </row>
    <row r="48" spans="1:1" ht="17" x14ac:dyDescent="0.2">
      <c r="A48" s="26" t="s">
        <v>441</v>
      </c>
    </row>
    <row r="50" spans="1:1" ht="17" x14ac:dyDescent="0.2">
      <c r="A50" s="25" t="s">
        <v>442</v>
      </c>
    </row>
    <row r="51" spans="1:1" ht="17" x14ac:dyDescent="0.2">
      <c r="A51" s="26" t="s">
        <v>443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42FAA-676A-1540-AC4F-C29ECB7F4C06}">
  <dimension ref="A1:X277"/>
  <sheetViews>
    <sheetView zoomScale="75" zoomScaleNormal="67" workbookViewId="0">
      <selection activeCell="V7" sqref="V7"/>
    </sheetView>
  </sheetViews>
  <sheetFormatPr baseColWidth="10" defaultRowHeight="16" x14ac:dyDescent="0.2"/>
  <cols>
    <col min="2" max="2" width="11.6640625" customWidth="1"/>
    <col min="4" max="4" width="12.33203125" customWidth="1"/>
    <col min="5" max="5" width="15.1640625" style="14" customWidth="1"/>
    <col min="6" max="6" width="13.5" customWidth="1"/>
    <col min="7" max="7" width="24.5" customWidth="1"/>
    <col min="8" max="8" width="13.1640625" customWidth="1"/>
    <col min="9" max="9" width="11" style="3" bestFit="1" customWidth="1"/>
    <col min="10" max="10" width="11" bestFit="1" customWidth="1"/>
    <col min="11" max="11" width="17.6640625" customWidth="1"/>
    <col min="12" max="12" width="14.6640625" customWidth="1"/>
    <col min="13" max="13" width="15.1640625" customWidth="1"/>
    <col min="14" max="14" width="19.83203125" customWidth="1"/>
    <col min="15" max="16" width="11" bestFit="1" customWidth="1"/>
    <col min="17" max="17" width="13.33203125" bestFit="1" customWidth="1"/>
    <col min="18" max="18" width="8.83203125" style="10" customWidth="1"/>
    <col min="19" max="19" width="17.1640625" customWidth="1"/>
    <col min="20" max="23" width="11" bestFit="1" customWidth="1"/>
    <col min="24" max="24" width="11.5" bestFit="1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s="18" t="s">
        <v>4</v>
      </c>
      <c r="F1" t="s">
        <v>5</v>
      </c>
      <c r="G1" t="s">
        <v>18</v>
      </c>
      <c r="H1" t="s">
        <v>21</v>
      </c>
      <c r="I1" s="3" t="s">
        <v>22</v>
      </c>
      <c r="J1" t="s">
        <v>19</v>
      </c>
      <c r="K1" t="s">
        <v>307</v>
      </c>
      <c r="L1" t="s">
        <v>308</v>
      </c>
      <c r="M1" t="s">
        <v>316</v>
      </c>
      <c r="N1" t="s">
        <v>367</v>
      </c>
      <c r="O1" t="s">
        <v>372</v>
      </c>
      <c r="P1" t="s">
        <v>373</v>
      </c>
      <c r="Q1" t="s">
        <v>374</v>
      </c>
      <c r="R1" s="10" t="s">
        <v>375</v>
      </c>
      <c r="S1" t="s">
        <v>376</v>
      </c>
      <c r="T1" t="s">
        <v>381</v>
      </c>
      <c r="U1" t="s">
        <v>382</v>
      </c>
      <c r="V1" t="s">
        <v>383</v>
      </c>
      <c r="W1" t="s">
        <v>384</v>
      </c>
      <c r="X1" t="s">
        <v>385</v>
      </c>
    </row>
    <row r="2" spans="1:24" x14ac:dyDescent="0.2">
      <c r="A2" t="s">
        <v>6</v>
      </c>
      <c r="B2">
        <v>2015</v>
      </c>
      <c r="C2" t="s">
        <v>7</v>
      </c>
      <c r="D2" s="1">
        <v>42094</v>
      </c>
      <c r="E2" s="14">
        <v>181</v>
      </c>
      <c r="F2" t="s">
        <v>8</v>
      </c>
      <c r="G2" t="str">
        <f>IF(F2&lt;&gt;"missing","",IF(D2&gt;DATE(2026,6,30),"not yet filed","no repurchases reported"))</f>
        <v/>
      </c>
      <c r="H2" t="str">
        <f t="shared" ref="H2:H65" si="0">A2&amp;"-"&amp;B2&amp;"-"&amp;C2</f>
        <v>AAL-2015-Q1</v>
      </c>
      <c r="I2" s="3">
        <f>_xlfn.XLOOKUP(H2,prices!A:A,prices!F:F,"no match")</f>
        <v>48.17</v>
      </c>
      <c r="J2">
        <f>_xlfn.XLOOKUP(A2,current!$A:$A,current!$B:$B,"no match")</f>
        <v>13.13</v>
      </c>
      <c r="K2">
        <f t="shared" ref="K2:K65" si="1">IF(E2="","",E2*1000000/I2)</f>
        <v>3757525.4307660367</v>
      </c>
      <c r="L2">
        <f t="shared" ref="L2:L65" si="2">IF(K2="","",K2*J2)</f>
        <v>49336308.905958064</v>
      </c>
      <c r="M2">
        <f t="shared" ref="M2:M65" si="3">IF(E2="","",E2*D2)</f>
        <v>7619014</v>
      </c>
      <c r="N2" t="str">
        <f>"SPY-"&amp;B2&amp;"-"&amp;C2</f>
        <v>SPY-2015-Q1</v>
      </c>
      <c r="O2">
        <f>_xlfn.XLOOKUP(N2,prices!$A:$A,prices!$F:$F,"no match")</f>
        <v>170.57</v>
      </c>
      <c r="P2">
        <f t="shared" ref="P2:P65" si="4">IF(E2="","",E2*1000000/O2)</f>
        <v>1061147.9158116903</v>
      </c>
      <c r="Q2">
        <f>IF(P2="","",P2*assumptions!$B$4)</f>
        <v>817285513.27900577</v>
      </c>
      <c r="R2" s="10">
        <f t="shared" ref="R2:R65" ca="1" si="5">IF(E2="","",(TODAY()-D2)/365.25)</f>
        <v>11.441478439425051</v>
      </c>
      <c r="S2">
        <f ca="1">IF(E2="","",E2*1000000*(1+assumptions!$B$3)^R2)</f>
        <v>281952309.58494765</v>
      </c>
      <c r="T2">
        <f t="shared" ref="T2:T65" si="6">IF(E2="",0,IF(E2&gt;0,1,0))</f>
        <v>1</v>
      </c>
      <c r="U2">
        <f t="shared" ref="U2:U65" si="7">SUMIFS($T:$T,$A:$A,$A2)</f>
        <v>23</v>
      </c>
      <c r="V2">
        <f t="shared" ref="V2:V65" si="8">IF(T2=0,0,SUMIFS($E:$E,$A:$A,$A2)/U2)</f>
        <v>526.39130434782612</v>
      </c>
      <c r="W2">
        <f t="shared" ref="W2:W65" si="9">IF(V2=0,0,V2*1000000/I2)</f>
        <v>10927782.942657797</v>
      </c>
      <c r="X2">
        <f t="shared" ref="X2:X65" si="10">IF(W2=0,0,W2*J2)</f>
        <v>143481790.03709689</v>
      </c>
    </row>
    <row r="3" spans="1:24" x14ac:dyDescent="0.2">
      <c r="A3" t="s">
        <v>6</v>
      </c>
      <c r="B3">
        <v>2015</v>
      </c>
      <c r="C3" t="s">
        <v>9</v>
      </c>
      <c r="D3" s="1">
        <v>42185</v>
      </c>
      <c r="E3" s="14">
        <v>750</v>
      </c>
      <c r="F3" t="s">
        <v>8</v>
      </c>
      <c r="G3" t="str">
        <f t="shared" ref="G3:G66" si="11">IF(F3&lt;&gt;"missing","",IF(D3&gt;DATE(2026,6,30),"not yet filed","no repurchases reported"))</f>
        <v/>
      </c>
      <c r="H3" t="str">
        <f t="shared" si="0"/>
        <v>AAL-2015-Q2</v>
      </c>
      <c r="I3" s="3">
        <f>_xlfn.XLOOKUP(H3,prices!A:A,prices!F:F,"no match")</f>
        <v>43.35</v>
      </c>
      <c r="J3">
        <f>_xlfn.XLOOKUP(A3,current!$A:$A,current!$B:$B,"no match")</f>
        <v>13.13</v>
      </c>
      <c r="K3">
        <f t="shared" si="1"/>
        <v>17301038.062283736</v>
      </c>
      <c r="L3">
        <f t="shared" si="2"/>
        <v>227162629.75778547</v>
      </c>
      <c r="M3">
        <f t="shared" si="3"/>
        <v>31638750</v>
      </c>
      <c r="N3" t="str">
        <f t="shared" ref="N3:N65" si="12">"SPY-"&amp;B3&amp;"-"&amp;C3</f>
        <v>SPY-2015-Q2</v>
      </c>
      <c r="O3">
        <f>_xlfn.XLOOKUP(N3,prices!$A:$A,prices!$F:$F,"no match")</f>
        <v>174.56</v>
      </c>
      <c r="P3">
        <f t="shared" si="4"/>
        <v>4296516.9569202568</v>
      </c>
      <c r="Q3">
        <f>IF(P3="","",P3*assumptions!$B$4)</f>
        <v>3309134395.0504127</v>
      </c>
      <c r="R3" s="10">
        <f t="shared" ca="1" si="5"/>
        <v>11.19233401779603</v>
      </c>
      <c r="S3">
        <f ca="1">IF(E3="","",E3*1000000*(1+assumptions!$B$3)^R3)</f>
        <v>1157088603.7227185</v>
      </c>
      <c r="T3">
        <f t="shared" si="6"/>
        <v>1</v>
      </c>
      <c r="U3">
        <f t="shared" si="7"/>
        <v>23</v>
      </c>
      <c r="V3">
        <f t="shared" si="8"/>
        <v>526.39130434782612</v>
      </c>
      <c r="W3">
        <f t="shared" si="9"/>
        <v>12142821.322902562</v>
      </c>
      <c r="X3">
        <f t="shared" si="10"/>
        <v>159435243.96971065</v>
      </c>
    </row>
    <row r="4" spans="1:24" x14ac:dyDescent="0.2">
      <c r="A4" t="s">
        <v>6</v>
      </c>
      <c r="B4">
        <v>2015</v>
      </c>
      <c r="C4" t="s">
        <v>10</v>
      </c>
      <c r="D4" s="1">
        <v>42277</v>
      </c>
      <c r="E4" s="14">
        <v>1480</v>
      </c>
      <c r="F4" t="s">
        <v>8</v>
      </c>
      <c r="G4" t="str">
        <f t="shared" si="11"/>
        <v/>
      </c>
      <c r="H4" t="str">
        <f t="shared" si="0"/>
        <v>AAL-2015-Q3</v>
      </c>
      <c r="I4" s="3">
        <f>_xlfn.XLOOKUP(H4,prices!A:A,prices!F:F,"no match")</f>
        <v>39.119999999999997</v>
      </c>
      <c r="J4">
        <f>_xlfn.XLOOKUP(A4,current!$A:$A,current!$B:$B,"no match")</f>
        <v>13.13</v>
      </c>
      <c r="K4">
        <f t="shared" si="1"/>
        <v>37832310.838445812</v>
      </c>
      <c r="L4">
        <f t="shared" si="2"/>
        <v>496738241.30879354</v>
      </c>
      <c r="M4">
        <f t="shared" si="3"/>
        <v>62569960</v>
      </c>
      <c r="N4" t="str">
        <f t="shared" si="12"/>
        <v>SPY-2015-Q3</v>
      </c>
      <c r="O4">
        <f>_xlfn.XLOOKUP(N4,prices!$A:$A,prices!$F:$F,"no match")</f>
        <v>169.23</v>
      </c>
      <c r="P4">
        <f t="shared" si="4"/>
        <v>8745494.2977013532</v>
      </c>
      <c r="Q4">
        <f>IF(P4="","",P4*assumptions!$B$4)</f>
        <v>6735692253.1466055</v>
      </c>
      <c r="R4" s="10">
        <f t="shared" ca="1" si="5"/>
        <v>10.940451745379876</v>
      </c>
      <c r="S4">
        <f ca="1">IF(E4="","",E4*1000000*(1+assumptions!$B$3)^R4)</f>
        <v>2261149495.0153503</v>
      </c>
      <c r="T4">
        <f t="shared" si="6"/>
        <v>1</v>
      </c>
      <c r="U4">
        <f t="shared" si="7"/>
        <v>23</v>
      </c>
      <c r="V4">
        <f t="shared" si="8"/>
        <v>526.39130434782612</v>
      </c>
      <c r="W4">
        <f t="shared" si="9"/>
        <v>13455810.438339114</v>
      </c>
      <c r="X4">
        <f t="shared" si="10"/>
        <v>176674791.05539259</v>
      </c>
    </row>
    <row r="5" spans="1:24" x14ac:dyDescent="0.2">
      <c r="A5" t="s">
        <v>6</v>
      </c>
      <c r="B5">
        <v>2015</v>
      </c>
      <c r="C5" t="s">
        <v>11</v>
      </c>
      <c r="D5" s="1">
        <v>42369</v>
      </c>
      <c r="E5" s="14">
        <v>1435</v>
      </c>
      <c r="F5" t="s">
        <v>8</v>
      </c>
      <c r="G5" t="str">
        <f t="shared" si="11"/>
        <v/>
      </c>
      <c r="H5" t="str">
        <f t="shared" si="0"/>
        <v>AAL-2015-Q4</v>
      </c>
      <c r="I5" s="3">
        <f>_xlfn.XLOOKUP(H5,prices!A:A,prices!F:F,"no match")</f>
        <v>41.38</v>
      </c>
      <c r="J5">
        <f>_xlfn.XLOOKUP(A5,current!$A:$A,current!$B:$B,"no match")</f>
        <v>13.13</v>
      </c>
      <c r="K5">
        <f t="shared" si="1"/>
        <v>34678588.690188497</v>
      </c>
      <c r="L5">
        <f t="shared" si="2"/>
        <v>455329869.50217497</v>
      </c>
      <c r="M5">
        <f t="shared" si="3"/>
        <v>60799515</v>
      </c>
      <c r="N5" t="str">
        <f t="shared" si="12"/>
        <v>SPY-2015-Q4</v>
      </c>
      <c r="O5">
        <f>_xlfn.XLOOKUP(N5,prices!$A:$A,prices!$F:$F,"no match")</f>
        <v>172.25</v>
      </c>
      <c r="P5">
        <f t="shared" si="4"/>
        <v>8330914.3686502175</v>
      </c>
      <c r="Q5">
        <f>IF(P5="","",P5*assumptions!$B$4)</f>
        <v>6416386937.5907116</v>
      </c>
      <c r="R5" s="10">
        <f t="shared" ca="1" si="5"/>
        <v>10.688569472963723</v>
      </c>
      <c r="S5">
        <f ca="1">IF(E5="","",E5*1000000*(1+assumptions!$B$3)^R5)</f>
        <v>2171109214.1224499</v>
      </c>
      <c r="T5">
        <f t="shared" si="6"/>
        <v>1</v>
      </c>
      <c r="U5">
        <f t="shared" si="7"/>
        <v>23</v>
      </c>
      <c r="V5">
        <f t="shared" si="8"/>
        <v>526.39130434782612</v>
      </c>
      <c r="W5">
        <f t="shared" si="9"/>
        <v>12720911.173219576</v>
      </c>
      <c r="X5">
        <f t="shared" si="10"/>
        <v>167025563.70437306</v>
      </c>
    </row>
    <row r="6" spans="1:24" x14ac:dyDescent="0.2">
      <c r="A6" t="s">
        <v>6</v>
      </c>
      <c r="B6">
        <v>2016</v>
      </c>
      <c r="C6" t="s">
        <v>7</v>
      </c>
      <c r="D6" s="1">
        <v>42460</v>
      </c>
      <c r="E6" s="14">
        <v>1525</v>
      </c>
      <c r="F6" t="s">
        <v>8</v>
      </c>
      <c r="G6" t="str">
        <f t="shared" si="11"/>
        <v/>
      </c>
      <c r="H6" t="str">
        <f t="shared" si="0"/>
        <v>AAL-2016-Q1</v>
      </c>
      <c r="I6" s="3">
        <f>_xlfn.XLOOKUP(H6,prices!A:A,prices!F:F,"no match")</f>
        <v>38.53</v>
      </c>
      <c r="J6">
        <f>_xlfn.XLOOKUP(A6,current!$A:$A,current!$B:$B,"no match")</f>
        <v>13.13</v>
      </c>
      <c r="K6">
        <f t="shared" si="1"/>
        <v>39579548.40384116</v>
      </c>
      <c r="L6">
        <f t="shared" si="2"/>
        <v>519679470.54243445</v>
      </c>
      <c r="M6">
        <f t="shared" si="3"/>
        <v>64751500</v>
      </c>
      <c r="N6" t="str">
        <f t="shared" si="12"/>
        <v>SPY-2016-Q1</v>
      </c>
      <c r="O6">
        <f>_xlfn.XLOOKUP(N6,prices!$A:$A,prices!$F:$F,"no match")</f>
        <v>164.64</v>
      </c>
      <c r="P6">
        <f t="shared" si="4"/>
        <v>9262633.6248785239</v>
      </c>
      <c r="Q6">
        <f>IF(P6="","",P6*assumptions!$B$4)</f>
        <v>7133987791.5451908</v>
      </c>
      <c r="R6" s="10">
        <f t="shared" ca="1" si="5"/>
        <v>10.439425051334702</v>
      </c>
      <c r="S6">
        <f ca="1">IF(E6="","",E6*1000000*(1+assumptions!$B$3)^R6)</f>
        <v>2285114069.8619304</v>
      </c>
      <c r="T6">
        <f t="shared" si="6"/>
        <v>1</v>
      </c>
      <c r="U6">
        <f t="shared" si="7"/>
        <v>23</v>
      </c>
      <c r="V6">
        <f t="shared" si="8"/>
        <v>526.39130434782612</v>
      </c>
      <c r="W6">
        <f t="shared" si="9"/>
        <v>13661855.809702208</v>
      </c>
      <c r="X6">
        <f t="shared" si="10"/>
        <v>179380166.78139001</v>
      </c>
    </row>
    <row r="7" spans="1:24" x14ac:dyDescent="0.2">
      <c r="A7" t="s">
        <v>6</v>
      </c>
      <c r="B7">
        <v>2016</v>
      </c>
      <c r="C7" t="s">
        <v>9</v>
      </c>
      <c r="D7" s="1">
        <v>42551</v>
      </c>
      <c r="E7" s="14">
        <v>1711</v>
      </c>
      <c r="F7" t="s">
        <v>8</v>
      </c>
      <c r="G7" t="str">
        <f t="shared" si="11"/>
        <v/>
      </c>
      <c r="H7" t="str">
        <f t="shared" si="0"/>
        <v>AAL-2016-Q2</v>
      </c>
      <c r="I7" s="3">
        <f>_xlfn.XLOOKUP(H7,prices!A:A,prices!F:F,"no match")</f>
        <v>32.44</v>
      </c>
      <c r="J7">
        <f>_xlfn.XLOOKUP(A7,current!$A:$A,current!$B:$B,"no match")</f>
        <v>13.13</v>
      </c>
      <c r="K7">
        <f t="shared" si="1"/>
        <v>52743526.510480888</v>
      </c>
      <c r="L7">
        <f t="shared" si="2"/>
        <v>692522503.08261406</v>
      </c>
      <c r="M7">
        <f t="shared" si="3"/>
        <v>72804761</v>
      </c>
      <c r="N7" t="str">
        <f t="shared" si="12"/>
        <v>SPY-2016-Q2</v>
      </c>
      <c r="O7">
        <f>_xlfn.XLOOKUP(N7,prices!$A:$A,prices!$F:$F,"no match")</f>
        <v>175.97</v>
      </c>
      <c r="P7">
        <f t="shared" si="4"/>
        <v>9723248.2809569817</v>
      </c>
      <c r="Q7">
        <f>IF(P7="","",P7*assumptions!$B$4)</f>
        <v>7488748593.5102587</v>
      </c>
      <c r="R7" s="10">
        <f t="shared" ca="1" si="5"/>
        <v>10.190280629705681</v>
      </c>
      <c r="S7">
        <f ca="1">IF(E7="","",E7*1000000*(1+assumptions!$B$3)^R7)</f>
        <v>2539196562.4486036</v>
      </c>
      <c r="T7">
        <f t="shared" si="6"/>
        <v>1</v>
      </c>
      <c r="U7">
        <f t="shared" si="7"/>
        <v>23</v>
      </c>
      <c r="V7">
        <f t="shared" si="8"/>
        <v>526.39130434782612</v>
      </c>
      <c r="W7">
        <f t="shared" si="9"/>
        <v>16226612.341178365</v>
      </c>
      <c r="X7">
        <f t="shared" si="10"/>
        <v>213055420.03967196</v>
      </c>
    </row>
    <row r="8" spans="1:24" x14ac:dyDescent="0.2">
      <c r="A8" t="s">
        <v>6</v>
      </c>
      <c r="B8">
        <v>2016</v>
      </c>
      <c r="C8" t="s">
        <v>10</v>
      </c>
      <c r="D8" s="1">
        <v>42643</v>
      </c>
      <c r="E8" s="14">
        <v>695</v>
      </c>
      <c r="F8" t="s">
        <v>8</v>
      </c>
      <c r="G8" t="str">
        <f t="shared" si="11"/>
        <v/>
      </c>
      <c r="H8" t="str">
        <f t="shared" si="0"/>
        <v>AAL-2016-Q3</v>
      </c>
      <c r="I8" s="3">
        <f>_xlfn.XLOOKUP(H8,prices!A:A,prices!F:F,"no match")</f>
        <v>34.020000000000003</v>
      </c>
      <c r="J8">
        <f>_xlfn.XLOOKUP(A8,current!$A:$A,current!$B:$B,"no match")</f>
        <v>13.13</v>
      </c>
      <c r="K8">
        <f t="shared" si="1"/>
        <v>20429159.318048205</v>
      </c>
      <c r="L8">
        <f t="shared" si="2"/>
        <v>268234861.84597296</v>
      </c>
      <c r="M8">
        <f t="shared" si="3"/>
        <v>29636885</v>
      </c>
      <c r="N8" t="str">
        <f t="shared" si="12"/>
        <v>SPY-2016-Q3</v>
      </c>
      <c r="O8">
        <f>_xlfn.XLOOKUP(N8,prices!$A:$A,prices!$F:$F,"no match")</f>
        <v>184.28</v>
      </c>
      <c r="P8">
        <f t="shared" si="4"/>
        <v>3771434.773171261</v>
      </c>
      <c r="Q8">
        <f>IF(P8="","",P8*assumptions!$B$4)</f>
        <v>2904721347.9487739</v>
      </c>
      <c r="R8" s="10">
        <f t="shared" ca="1" si="5"/>
        <v>9.9383983572895271</v>
      </c>
      <c r="S8">
        <f ca="1">IF(E8="","",E8*1000000*(1+assumptions!$B$3)^R8)</f>
        <v>1021394052.8626723</v>
      </c>
      <c r="T8">
        <f t="shared" si="6"/>
        <v>1</v>
      </c>
      <c r="U8">
        <f t="shared" si="7"/>
        <v>23</v>
      </c>
      <c r="V8">
        <f t="shared" si="8"/>
        <v>526.39130434782612</v>
      </c>
      <c r="W8">
        <f t="shared" si="9"/>
        <v>15472995.424686246</v>
      </c>
      <c r="X8">
        <f t="shared" si="10"/>
        <v>203160429.92613041</v>
      </c>
    </row>
    <row r="9" spans="1:24" x14ac:dyDescent="0.2">
      <c r="A9" t="s">
        <v>6</v>
      </c>
      <c r="B9">
        <v>2016</v>
      </c>
      <c r="C9" t="s">
        <v>11</v>
      </c>
      <c r="D9" s="1">
        <v>42735</v>
      </c>
      <c r="E9" s="14">
        <v>569</v>
      </c>
      <c r="F9" t="s">
        <v>8</v>
      </c>
      <c r="G9" t="str">
        <f t="shared" si="11"/>
        <v/>
      </c>
      <c r="H9" t="str">
        <f t="shared" si="0"/>
        <v>AAL-2016-Q4</v>
      </c>
      <c r="I9" s="3">
        <f>_xlfn.XLOOKUP(H9,prices!A:A,prices!F:F,"no match")</f>
        <v>42.05</v>
      </c>
      <c r="J9">
        <f>_xlfn.XLOOKUP(A9,current!$A:$A,current!$B:$B,"no match")</f>
        <v>13.13</v>
      </c>
      <c r="K9">
        <f t="shared" si="1"/>
        <v>13531510.107015459</v>
      </c>
      <c r="L9">
        <f t="shared" si="2"/>
        <v>177668727.70511299</v>
      </c>
      <c r="M9">
        <f t="shared" si="3"/>
        <v>24316215</v>
      </c>
      <c r="N9" t="str">
        <f t="shared" si="12"/>
        <v>SPY-2016-Q4</v>
      </c>
      <c r="O9">
        <f>_xlfn.XLOOKUP(N9,prices!$A:$A,prices!$F:$F,"no match")</f>
        <v>187.21</v>
      </c>
      <c r="P9">
        <f t="shared" si="4"/>
        <v>3039367.5551519683</v>
      </c>
      <c r="Q9">
        <f>IF(P9="","",P9*assumptions!$B$4)</f>
        <v>2340890497.3024945</v>
      </c>
      <c r="R9" s="10">
        <f t="shared" ca="1" si="5"/>
        <v>9.6865160848733751</v>
      </c>
      <c r="S9">
        <f ca="1">IF(E9="","",E9*1000000*(1+assumptions!$B$3)^R9)</f>
        <v>828100400.96129072</v>
      </c>
      <c r="T9">
        <f t="shared" si="6"/>
        <v>1</v>
      </c>
      <c r="U9">
        <f t="shared" si="7"/>
        <v>23</v>
      </c>
      <c r="V9">
        <f t="shared" si="8"/>
        <v>526.39130434782612</v>
      </c>
      <c r="W9">
        <f t="shared" si="9"/>
        <v>12518223.646797292</v>
      </c>
      <c r="X9">
        <f t="shared" si="10"/>
        <v>164364276.48244846</v>
      </c>
    </row>
    <row r="10" spans="1:24" hidden="1" x14ac:dyDescent="0.2">
      <c r="A10" t="s">
        <v>6</v>
      </c>
      <c r="B10">
        <v>2017</v>
      </c>
      <c r="C10" t="s">
        <v>7</v>
      </c>
      <c r="D10" s="1">
        <v>42825</v>
      </c>
      <c r="E10" s="14">
        <v>484</v>
      </c>
      <c r="F10" t="s">
        <v>8</v>
      </c>
      <c r="G10" t="str">
        <f t="shared" si="11"/>
        <v/>
      </c>
      <c r="H10" t="str">
        <f t="shared" si="0"/>
        <v>AAL-2017-Q1</v>
      </c>
      <c r="I10" s="3">
        <f>_xlfn.XLOOKUP(H10,prices!A:A,prices!F:F,"no match")</f>
        <v>43.78</v>
      </c>
      <c r="J10">
        <f>_xlfn.XLOOKUP(A10,current!$A:$A,current!$B:$B,"no match")</f>
        <v>13.13</v>
      </c>
      <c r="K10">
        <f t="shared" si="1"/>
        <v>11055276.381909547</v>
      </c>
      <c r="L10">
        <f t="shared" si="2"/>
        <v>145155778.89447236</v>
      </c>
      <c r="M10">
        <f t="shared" si="3"/>
        <v>20727300</v>
      </c>
      <c r="N10" t="str">
        <f t="shared" si="12"/>
        <v>SPY-2017-Q1</v>
      </c>
      <c r="O10">
        <f>_xlfn.XLOOKUP(N10,prices!$A:$A,prices!$F:$F,"no match")</f>
        <v>200.26</v>
      </c>
      <c r="P10">
        <f t="shared" si="4"/>
        <v>2416858.0844901628</v>
      </c>
      <c r="Q10">
        <f>IF(P10="","",P10*assumptions!$B$4)</f>
        <v>1861439928.0934787</v>
      </c>
      <c r="R10" s="10">
        <f t="shared" ca="1" si="5"/>
        <v>9.4401095140314855</v>
      </c>
      <c r="S10">
        <f ca="1">IF(E10="","",E10*1000000*(1+assumptions!$B$3)^R10)</f>
        <v>697702733.33483112</v>
      </c>
      <c r="T10">
        <f t="shared" si="6"/>
        <v>1</v>
      </c>
      <c r="U10">
        <f t="shared" si="7"/>
        <v>23</v>
      </c>
      <c r="V10">
        <f t="shared" si="8"/>
        <v>526.39130434782612</v>
      </c>
      <c r="W10">
        <f t="shared" si="9"/>
        <v>12023556.517766699</v>
      </c>
      <c r="X10">
        <f t="shared" si="10"/>
        <v>157869297.07827678</v>
      </c>
    </row>
    <row r="11" spans="1:24" hidden="1" x14ac:dyDescent="0.2">
      <c r="A11" t="s">
        <v>6</v>
      </c>
      <c r="B11">
        <v>2017</v>
      </c>
      <c r="C11" t="s">
        <v>9</v>
      </c>
      <c r="D11" s="1">
        <v>42916</v>
      </c>
      <c r="E11" s="14">
        <v>529</v>
      </c>
      <c r="F11" t="s">
        <v>8</v>
      </c>
      <c r="G11" t="str">
        <f t="shared" si="11"/>
        <v/>
      </c>
      <c r="H11" t="str">
        <f t="shared" si="0"/>
        <v>AAL-2017-Q2</v>
      </c>
      <c r="I11" s="3">
        <f>_xlfn.XLOOKUP(H11,prices!A:A,prices!F:F,"no match")</f>
        <v>45.08</v>
      </c>
      <c r="J11">
        <f>_xlfn.XLOOKUP(A11,current!$A:$A,current!$B:$B,"no match")</f>
        <v>13.13</v>
      </c>
      <c r="K11">
        <f t="shared" si="1"/>
        <v>11734693.877551021</v>
      </c>
      <c r="L11">
        <f t="shared" si="2"/>
        <v>154076530.6122449</v>
      </c>
      <c r="M11">
        <f t="shared" si="3"/>
        <v>22702564</v>
      </c>
      <c r="N11" t="str">
        <f t="shared" si="12"/>
        <v>SPY-2017-Q2</v>
      </c>
      <c r="O11">
        <f>_xlfn.XLOOKUP(N11,prices!$A:$A,prices!$F:$F,"no match")</f>
        <v>207.45</v>
      </c>
      <c r="P11">
        <f t="shared" si="4"/>
        <v>2550012.0510966498</v>
      </c>
      <c r="Q11">
        <f>IF(P11="","",P11*assumptions!$B$4)</f>
        <v>1963993781.6341288</v>
      </c>
      <c r="R11" s="10">
        <f t="shared" ca="1" si="5"/>
        <v>9.1909650924024646</v>
      </c>
      <c r="S11">
        <f ca="1">IF(E11="","",E11*1000000*(1+assumptions!$B$3)^R11)</f>
        <v>755246995.11463034</v>
      </c>
      <c r="T11">
        <f t="shared" si="6"/>
        <v>1</v>
      </c>
      <c r="U11">
        <f t="shared" si="7"/>
        <v>23</v>
      </c>
      <c r="V11">
        <f t="shared" si="8"/>
        <v>526.39130434782612</v>
      </c>
      <c r="W11">
        <f t="shared" si="9"/>
        <v>11676825.739747696</v>
      </c>
      <c r="X11">
        <f t="shared" si="10"/>
        <v>153316721.96288726</v>
      </c>
    </row>
    <row r="12" spans="1:24" hidden="1" x14ac:dyDescent="0.2">
      <c r="A12" t="s">
        <v>6</v>
      </c>
      <c r="B12">
        <v>2017</v>
      </c>
      <c r="C12" t="s">
        <v>10</v>
      </c>
      <c r="D12" s="1">
        <v>43008</v>
      </c>
      <c r="E12" s="14">
        <v>359</v>
      </c>
      <c r="F12" t="s">
        <v>8</v>
      </c>
      <c r="G12" t="str">
        <f t="shared" si="11"/>
        <v/>
      </c>
      <c r="H12" t="str">
        <f t="shared" si="0"/>
        <v>AAL-2017-Q3</v>
      </c>
      <c r="I12" s="3">
        <f>_xlfn.XLOOKUP(H12,prices!A:A,prices!F:F,"no match")</f>
        <v>47</v>
      </c>
      <c r="J12">
        <f>_xlfn.XLOOKUP(A12,current!$A:$A,current!$B:$B,"no match")</f>
        <v>13.13</v>
      </c>
      <c r="K12">
        <f t="shared" si="1"/>
        <v>7638297.8723404258</v>
      </c>
      <c r="L12">
        <f t="shared" si="2"/>
        <v>100290851.06382979</v>
      </c>
      <c r="M12">
        <f t="shared" si="3"/>
        <v>15439872</v>
      </c>
      <c r="N12" t="str">
        <f t="shared" si="12"/>
        <v>SPY-2017-Q3</v>
      </c>
      <c r="O12">
        <f>_xlfn.XLOOKUP(N12,prices!$A:$A,prices!$F:$F,"no match")</f>
        <v>214.46</v>
      </c>
      <c r="P12">
        <f t="shared" si="4"/>
        <v>1673971.8362398583</v>
      </c>
      <c r="Q12">
        <f>IF(P12="","",P12*assumptions!$B$4)</f>
        <v>1289276368.5535765</v>
      </c>
      <c r="R12" s="10">
        <f t="shared" ca="1" si="5"/>
        <v>8.9390828199863108</v>
      </c>
      <c r="S12">
        <f ca="1">IF(E12="","",E12*1000000*(1+assumptions!$B$3)^R12)</f>
        <v>507563041.16028112</v>
      </c>
      <c r="T12">
        <f t="shared" si="6"/>
        <v>1</v>
      </c>
      <c r="U12">
        <f t="shared" si="7"/>
        <v>23</v>
      </c>
      <c r="V12">
        <f t="shared" si="8"/>
        <v>526.39130434782612</v>
      </c>
      <c r="W12">
        <f t="shared" si="9"/>
        <v>11199814.98612396</v>
      </c>
      <c r="X12">
        <f t="shared" si="10"/>
        <v>147053570.7678076</v>
      </c>
    </row>
    <row r="13" spans="1:24" hidden="1" x14ac:dyDescent="0.2">
      <c r="A13" t="s">
        <v>6</v>
      </c>
      <c r="B13">
        <v>2017</v>
      </c>
      <c r="C13" t="s">
        <v>11</v>
      </c>
      <c r="D13" s="1">
        <v>43100</v>
      </c>
      <c r="E13" s="14">
        <v>243</v>
      </c>
      <c r="F13" t="s">
        <v>8</v>
      </c>
      <c r="G13" t="str">
        <f t="shared" si="11"/>
        <v/>
      </c>
      <c r="H13" t="str">
        <f t="shared" si="0"/>
        <v>AAL-2017-Q4</v>
      </c>
      <c r="I13" s="3">
        <f>_xlfn.XLOOKUP(H13,prices!A:A,prices!F:F,"no match")</f>
        <v>48.51</v>
      </c>
      <c r="J13">
        <f>_xlfn.XLOOKUP(A13,current!$A:$A,current!$B:$B,"no match")</f>
        <v>13.13</v>
      </c>
      <c r="K13">
        <f t="shared" si="1"/>
        <v>5009276.4378478667</v>
      </c>
      <c r="L13">
        <f t="shared" si="2"/>
        <v>65771799.628942497</v>
      </c>
      <c r="M13">
        <f t="shared" si="3"/>
        <v>10473300</v>
      </c>
      <c r="N13" t="str">
        <f t="shared" si="12"/>
        <v>SPY-2017-Q4</v>
      </c>
      <c r="O13">
        <f>_xlfn.XLOOKUP(N13,prices!$A:$A,prices!$F:$F,"no match")</f>
        <v>227.33</v>
      </c>
      <c r="P13">
        <f t="shared" si="4"/>
        <v>1068930.6294813706</v>
      </c>
      <c r="Q13">
        <f>IF(P13="","",P13*assumptions!$B$4)</f>
        <v>823279681.52025688</v>
      </c>
      <c r="R13" s="10">
        <f t="shared" ca="1" si="5"/>
        <v>8.687200547570157</v>
      </c>
      <c r="S13">
        <f ca="1">IF(E13="","",E13*1000000*(1+assumptions!$B$3)^R13)</f>
        <v>340223277.66738331</v>
      </c>
      <c r="T13">
        <f t="shared" si="6"/>
        <v>1</v>
      </c>
      <c r="U13">
        <f t="shared" si="7"/>
        <v>23</v>
      </c>
      <c r="V13">
        <f t="shared" si="8"/>
        <v>526.39130434782612</v>
      </c>
      <c r="W13">
        <f t="shared" si="9"/>
        <v>10851191.596533213</v>
      </c>
      <c r="X13">
        <f t="shared" si="10"/>
        <v>142476145.6624811</v>
      </c>
    </row>
    <row r="14" spans="1:24" x14ac:dyDescent="0.2">
      <c r="A14" t="s">
        <v>6</v>
      </c>
      <c r="B14">
        <v>2018</v>
      </c>
      <c r="C14" t="s">
        <v>7</v>
      </c>
      <c r="D14" s="1">
        <v>43190</v>
      </c>
      <c r="E14" s="14">
        <v>461</v>
      </c>
      <c r="F14" t="s">
        <v>8</v>
      </c>
      <c r="G14" t="str">
        <f t="shared" si="11"/>
        <v/>
      </c>
      <c r="H14" t="str">
        <f t="shared" si="0"/>
        <v>AAL-2018-Q1</v>
      </c>
      <c r="I14" s="3">
        <f>_xlfn.XLOOKUP(H14,prices!A:A,prices!F:F,"no match")</f>
        <v>52.27</v>
      </c>
      <c r="J14">
        <f>_xlfn.XLOOKUP(A14,current!$A:$A,current!$B:$B,"no match")</f>
        <v>13.13</v>
      </c>
      <c r="K14">
        <f t="shared" si="1"/>
        <v>8819590.5873349905</v>
      </c>
      <c r="L14">
        <f t="shared" si="2"/>
        <v>115801224.41170843</v>
      </c>
      <c r="M14">
        <f t="shared" si="3"/>
        <v>19910590</v>
      </c>
      <c r="N14" t="str">
        <f t="shared" si="12"/>
        <v>SPY-2018-Q1</v>
      </c>
      <c r="O14">
        <f>_xlfn.XLOOKUP(N14,prices!$A:$A,prices!$F:$F,"no match")</f>
        <v>239.76</v>
      </c>
      <c r="P14">
        <f t="shared" si="4"/>
        <v>1922756.0894227561</v>
      </c>
      <c r="Q14">
        <f>IF(P14="","",P14*assumptions!$B$4)</f>
        <v>1480887512.5125127</v>
      </c>
      <c r="R14" s="10">
        <f t="shared" ca="1" si="5"/>
        <v>8.4407939767282691</v>
      </c>
      <c r="S14">
        <f ca="1">IF(E14="","",E14*1000000*(1+assumptions!$B$3)^R14)</f>
        <v>639312226.5584414</v>
      </c>
      <c r="T14">
        <f t="shared" si="6"/>
        <v>1</v>
      </c>
      <c r="U14">
        <f t="shared" si="7"/>
        <v>23</v>
      </c>
      <c r="V14">
        <f t="shared" si="8"/>
        <v>526.39130434782612</v>
      </c>
      <c r="W14">
        <f t="shared" si="9"/>
        <v>10070619.941607539</v>
      </c>
      <c r="X14">
        <f t="shared" si="10"/>
        <v>132227239.83330698</v>
      </c>
    </row>
    <row r="15" spans="1:24" x14ac:dyDescent="0.2">
      <c r="A15" t="s">
        <v>6</v>
      </c>
      <c r="B15">
        <v>2018</v>
      </c>
      <c r="C15" t="s">
        <v>9</v>
      </c>
      <c r="D15" s="1">
        <v>43281</v>
      </c>
      <c r="E15" s="14">
        <v>376</v>
      </c>
      <c r="F15" t="s">
        <v>8</v>
      </c>
      <c r="G15" t="str">
        <f t="shared" si="11"/>
        <v/>
      </c>
      <c r="H15" t="str">
        <f t="shared" si="0"/>
        <v>AAL-2018-Q2</v>
      </c>
      <c r="I15" s="3">
        <f>_xlfn.XLOOKUP(H15,prices!A:A,prices!F:F,"no match")</f>
        <v>43.1</v>
      </c>
      <c r="J15">
        <f>_xlfn.XLOOKUP(A15,current!$A:$A,current!$B:$B,"no match")</f>
        <v>13.13</v>
      </c>
      <c r="K15">
        <f t="shared" si="1"/>
        <v>8723897.9118329454</v>
      </c>
      <c r="L15">
        <f t="shared" si="2"/>
        <v>114544779.58236659</v>
      </c>
      <c r="M15">
        <f t="shared" si="3"/>
        <v>16273656</v>
      </c>
      <c r="N15" t="str">
        <f t="shared" si="12"/>
        <v>SPY-2018-Q2</v>
      </c>
      <c r="O15">
        <f>_xlfn.XLOOKUP(N15,prices!$A:$A,prices!$F:$F,"no match")</f>
        <v>238.21</v>
      </c>
      <c r="P15">
        <f t="shared" si="4"/>
        <v>1578439.1923093069</v>
      </c>
      <c r="Q15">
        <f>IF(P15="","",P15*assumptions!$B$4)</f>
        <v>1215698081.5247052</v>
      </c>
      <c r="R15" s="10">
        <f t="shared" ca="1" si="5"/>
        <v>8.1916495550992465</v>
      </c>
      <c r="S15">
        <f ca="1">IF(E15="","",E15*1000000*(1+assumptions!$B$3)^R15)</f>
        <v>516426121.10535359</v>
      </c>
      <c r="T15">
        <f t="shared" si="6"/>
        <v>1</v>
      </c>
      <c r="U15">
        <f t="shared" si="7"/>
        <v>23</v>
      </c>
      <c r="V15">
        <f t="shared" si="8"/>
        <v>526.39130434782612</v>
      </c>
      <c r="W15">
        <f t="shared" si="9"/>
        <v>12213255.321295269</v>
      </c>
      <c r="X15">
        <f t="shared" si="10"/>
        <v>160360042.3686069</v>
      </c>
    </row>
    <row r="16" spans="1:24" x14ac:dyDescent="0.2">
      <c r="A16" t="s">
        <v>6</v>
      </c>
      <c r="B16">
        <v>2018</v>
      </c>
      <c r="C16" t="s">
        <v>10</v>
      </c>
      <c r="D16" s="1">
        <v>43373</v>
      </c>
      <c r="E16" s="14">
        <v>0</v>
      </c>
      <c r="F16" t="s">
        <v>8</v>
      </c>
      <c r="G16" t="str">
        <f t="shared" si="11"/>
        <v/>
      </c>
      <c r="H16" t="str">
        <f t="shared" si="0"/>
        <v>AAL-2018-Q3</v>
      </c>
      <c r="I16" s="3">
        <f>_xlfn.XLOOKUP(H16,prices!A:A,prices!F:F,"no match")</f>
        <v>38.31</v>
      </c>
      <c r="J16">
        <f>_xlfn.XLOOKUP(A16,current!$A:$A,current!$B:$B,"no match")</f>
        <v>13.13</v>
      </c>
      <c r="K16">
        <f t="shared" si="1"/>
        <v>0</v>
      </c>
      <c r="L16">
        <f t="shared" si="2"/>
        <v>0</v>
      </c>
      <c r="M16">
        <f t="shared" si="3"/>
        <v>0</v>
      </c>
      <c r="N16" t="str">
        <f t="shared" si="12"/>
        <v>SPY-2018-Q3</v>
      </c>
      <c r="O16">
        <f>_xlfn.XLOOKUP(N16,prices!$A:$A,prices!$F:$F,"no match")</f>
        <v>252.23</v>
      </c>
      <c r="P16">
        <f t="shared" si="4"/>
        <v>0</v>
      </c>
      <c r="Q16">
        <f>IF(P16="","",P16*assumptions!$B$4)</f>
        <v>0</v>
      </c>
      <c r="R16" s="10">
        <f t="shared" ca="1" si="5"/>
        <v>7.9397672826830936</v>
      </c>
      <c r="S16">
        <f ca="1">IF(E16="","",E16*1000000*(1+assumptions!$B$3)^R16)</f>
        <v>0</v>
      </c>
      <c r="T16">
        <f t="shared" si="6"/>
        <v>0</v>
      </c>
      <c r="U16">
        <f t="shared" si="7"/>
        <v>23</v>
      </c>
      <c r="V16">
        <f t="shared" si="8"/>
        <v>0</v>
      </c>
      <c r="W16">
        <f t="shared" si="9"/>
        <v>0</v>
      </c>
      <c r="X16">
        <f t="shared" si="10"/>
        <v>0</v>
      </c>
    </row>
    <row r="17" spans="1:24" x14ac:dyDescent="0.2">
      <c r="A17" t="s">
        <v>6</v>
      </c>
      <c r="B17">
        <v>2018</v>
      </c>
      <c r="C17" t="s">
        <v>11</v>
      </c>
      <c r="D17" s="1">
        <v>43465</v>
      </c>
      <c r="E17" s="14">
        <v>0</v>
      </c>
      <c r="F17" t="s">
        <v>8</v>
      </c>
      <c r="G17" t="str">
        <f t="shared" si="11"/>
        <v/>
      </c>
      <c r="H17" t="str">
        <f t="shared" si="0"/>
        <v>AAL-2018-Q4</v>
      </c>
      <c r="I17" s="3">
        <f>_xlfn.XLOOKUP(H17,prices!A:A,prices!F:F,"no match")</f>
        <v>34.21</v>
      </c>
      <c r="J17">
        <f>_xlfn.XLOOKUP(A17,current!$A:$A,current!$B:$B,"no match")</f>
        <v>13.13</v>
      </c>
      <c r="K17">
        <f t="shared" si="1"/>
        <v>0</v>
      </c>
      <c r="L17">
        <f t="shared" si="2"/>
        <v>0</v>
      </c>
      <c r="M17">
        <f t="shared" si="3"/>
        <v>0</v>
      </c>
      <c r="N17" t="str">
        <f t="shared" si="12"/>
        <v>SPY-2018-Q4</v>
      </c>
      <c r="O17">
        <f>_xlfn.XLOOKUP(N17,prices!$A:$A,prices!$F:$F,"no match")</f>
        <v>239.95</v>
      </c>
      <c r="P17">
        <f t="shared" si="4"/>
        <v>0</v>
      </c>
      <c r="Q17">
        <f>IF(P17="","",P17*assumptions!$B$4)</f>
        <v>0</v>
      </c>
      <c r="R17" s="10">
        <f t="shared" ca="1" si="5"/>
        <v>7.6878850102669407</v>
      </c>
      <c r="S17">
        <f ca="1">IF(E17="","",E17*1000000*(1+assumptions!$B$3)^R17)</f>
        <v>0</v>
      </c>
      <c r="T17">
        <f t="shared" si="6"/>
        <v>0</v>
      </c>
      <c r="U17">
        <f t="shared" si="7"/>
        <v>23</v>
      </c>
      <c r="V17">
        <f t="shared" si="8"/>
        <v>0</v>
      </c>
      <c r="W17">
        <f t="shared" si="9"/>
        <v>0</v>
      </c>
      <c r="X17">
        <f t="shared" si="10"/>
        <v>0</v>
      </c>
    </row>
    <row r="18" spans="1:24" x14ac:dyDescent="0.2">
      <c r="A18" t="s">
        <v>6</v>
      </c>
      <c r="B18">
        <v>2019</v>
      </c>
      <c r="C18" t="s">
        <v>7</v>
      </c>
      <c r="D18" s="1">
        <v>43555</v>
      </c>
      <c r="E18" s="14">
        <v>608</v>
      </c>
      <c r="F18" t="s">
        <v>8</v>
      </c>
      <c r="G18" t="str">
        <f t="shared" si="11"/>
        <v/>
      </c>
      <c r="H18" t="str">
        <f t="shared" si="0"/>
        <v>AAL-2019-Q1</v>
      </c>
      <c r="I18" s="3">
        <f>_xlfn.XLOOKUP(H18,prices!A:A,prices!F:F,"no match")</f>
        <v>33.11</v>
      </c>
      <c r="J18">
        <f>_xlfn.XLOOKUP(A18,current!$A:$A,current!$B:$B,"no match")</f>
        <v>13.13</v>
      </c>
      <c r="K18">
        <f t="shared" si="1"/>
        <v>18363032.316520687</v>
      </c>
      <c r="L18">
        <f t="shared" si="2"/>
        <v>241106614.31591663</v>
      </c>
      <c r="M18">
        <f t="shared" si="3"/>
        <v>26481440</v>
      </c>
      <c r="N18" t="str">
        <f t="shared" si="12"/>
        <v>SPY-2019-Q1</v>
      </c>
      <c r="O18">
        <f>_xlfn.XLOOKUP(N18,prices!$A:$A,prices!$F:$F,"no match")</f>
        <v>243.24</v>
      </c>
      <c r="P18">
        <f t="shared" si="4"/>
        <v>2499588.8834073343</v>
      </c>
      <c r="Q18">
        <f>IF(P18="","",P18*assumptions!$B$4)</f>
        <v>1925158362.111495</v>
      </c>
      <c r="R18" s="10">
        <f t="shared" ca="1" si="5"/>
        <v>7.4414784394250511</v>
      </c>
      <c r="S18">
        <f ca="1">IF(E18="","",E18*1000000*(1+assumptions!$B$3)^R18)</f>
        <v>811152827.08151269</v>
      </c>
      <c r="T18">
        <f t="shared" si="6"/>
        <v>1</v>
      </c>
      <c r="U18">
        <f t="shared" si="7"/>
        <v>23</v>
      </c>
      <c r="V18">
        <f t="shared" si="8"/>
        <v>526.39130434782612</v>
      </c>
      <c r="W18">
        <f t="shared" si="9"/>
        <v>15898257.455385869</v>
      </c>
      <c r="X18">
        <f t="shared" si="10"/>
        <v>208744120.38921648</v>
      </c>
    </row>
    <row r="19" spans="1:24" x14ac:dyDescent="0.2">
      <c r="A19" t="s">
        <v>6</v>
      </c>
      <c r="B19">
        <v>2019</v>
      </c>
      <c r="C19" t="s">
        <v>9</v>
      </c>
      <c r="D19" s="1">
        <v>43646</v>
      </c>
      <c r="E19" s="14">
        <v>17</v>
      </c>
      <c r="F19" t="s">
        <v>8</v>
      </c>
      <c r="G19" t="str">
        <f t="shared" si="11"/>
        <v/>
      </c>
      <c r="H19" t="str">
        <f t="shared" si="0"/>
        <v>AAL-2019-Q2</v>
      </c>
      <c r="I19" s="3">
        <f>_xlfn.XLOOKUP(H19,prices!A:A,prices!F:F,"no match")</f>
        <v>31.92</v>
      </c>
      <c r="J19">
        <f>_xlfn.XLOOKUP(A19,current!$A:$A,current!$B:$B,"no match")</f>
        <v>13.13</v>
      </c>
      <c r="K19">
        <f t="shared" si="1"/>
        <v>532581.45363408513</v>
      </c>
      <c r="L19">
        <f t="shared" si="2"/>
        <v>6992794.4862155383</v>
      </c>
      <c r="M19">
        <f t="shared" si="3"/>
        <v>741982</v>
      </c>
      <c r="N19" t="str">
        <f t="shared" si="12"/>
        <v>SPY-2019-Q2</v>
      </c>
      <c r="O19">
        <f>_xlfn.XLOOKUP(N19,prices!$A:$A,prices!$F:$F,"no match")</f>
        <v>258.86</v>
      </c>
      <c r="P19">
        <f t="shared" si="4"/>
        <v>65672.56432048211</v>
      </c>
      <c r="Q19">
        <f>IF(P19="","",P19*assumptions!$B$4)</f>
        <v>50580352.31399212</v>
      </c>
      <c r="R19" s="10">
        <f t="shared" ca="1" si="5"/>
        <v>7.1923340177960302</v>
      </c>
      <c r="S19">
        <f ca="1">IF(E19="","",E19*1000000*(1+assumptions!$B$3)^R19)</f>
        <v>22462407.38700657</v>
      </c>
      <c r="T19">
        <f t="shared" si="6"/>
        <v>1</v>
      </c>
      <c r="U19">
        <f t="shared" si="7"/>
        <v>23</v>
      </c>
      <c r="V19">
        <f t="shared" si="8"/>
        <v>526.39130434782612</v>
      </c>
      <c r="W19">
        <f t="shared" si="9"/>
        <v>16490955.649994552</v>
      </c>
      <c r="X19">
        <f t="shared" si="10"/>
        <v>216526247.68442848</v>
      </c>
    </row>
    <row r="20" spans="1:24" x14ac:dyDescent="0.2">
      <c r="A20" t="s">
        <v>6</v>
      </c>
      <c r="B20">
        <v>2019</v>
      </c>
      <c r="C20" t="s">
        <v>10</v>
      </c>
      <c r="D20" s="1">
        <v>43738</v>
      </c>
      <c r="E20" s="14">
        <v>200</v>
      </c>
      <c r="F20" t="s">
        <v>8</v>
      </c>
      <c r="G20" t="str">
        <f t="shared" si="11"/>
        <v/>
      </c>
      <c r="H20" t="str">
        <f t="shared" si="0"/>
        <v>AAL-2019-Q3</v>
      </c>
      <c r="I20" s="3">
        <f>_xlfn.XLOOKUP(H20,prices!A:A,prices!F:F,"no match")</f>
        <v>29.02</v>
      </c>
      <c r="J20">
        <f>_xlfn.XLOOKUP(A20,current!$A:$A,current!$B:$B,"no match")</f>
        <v>13.13</v>
      </c>
      <c r="K20">
        <f t="shared" si="1"/>
        <v>6891798.759476223</v>
      </c>
      <c r="L20">
        <f t="shared" si="2"/>
        <v>90489317.711922809</v>
      </c>
      <c r="M20">
        <f t="shared" si="3"/>
        <v>8747600</v>
      </c>
      <c r="N20" t="str">
        <f t="shared" si="12"/>
        <v>SPY-2019-Q3</v>
      </c>
      <c r="O20">
        <f>_xlfn.XLOOKUP(N20,prices!$A:$A,prices!$F:$F,"no match")</f>
        <v>266.92</v>
      </c>
      <c r="P20">
        <f t="shared" si="4"/>
        <v>749288.17623257905</v>
      </c>
      <c r="Q20">
        <f>IF(P20="","",P20*assumptions!$B$4)</f>
        <v>577094260.45257008</v>
      </c>
      <c r="R20" s="10">
        <f t="shared" ca="1" si="5"/>
        <v>6.9404517453798764</v>
      </c>
      <c r="S20">
        <f ca="1">IF(E20="","",E20*1000000*(1+assumptions!$B$3)^R20)</f>
        <v>261697504.9805688</v>
      </c>
      <c r="T20">
        <f t="shared" si="6"/>
        <v>1</v>
      </c>
      <c r="U20">
        <f t="shared" si="7"/>
        <v>23</v>
      </c>
      <c r="V20">
        <f t="shared" si="8"/>
        <v>526.39130434782612</v>
      </c>
      <c r="W20">
        <f t="shared" si="9"/>
        <v>18138914.691517096</v>
      </c>
      <c r="X20">
        <f t="shared" si="10"/>
        <v>238163949.89961949</v>
      </c>
    </row>
    <row r="21" spans="1:24" x14ac:dyDescent="0.2">
      <c r="A21" t="s">
        <v>6</v>
      </c>
      <c r="B21">
        <v>2019</v>
      </c>
      <c r="C21" t="s">
        <v>11</v>
      </c>
      <c r="D21" s="1">
        <v>43830</v>
      </c>
      <c r="E21" s="14">
        <v>272</v>
      </c>
      <c r="F21" t="s">
        <v>8</v>
      </c>
      <c r="G21" t="str">
        <f t="shared" si="11"/>
        <v/>
      </c>
      <c r="H21" t="str">
        <f t="shared" si="0"/>
        <v>AAL-2019-Q4</v>
      </c>
      <c r="I21" s="3">
        <f>_xlfn.XLOOKUP(H21,prices!A:A,prices!F:F,"no match")</f>
        <v>28.37</v>
      </c>
      <c r="J21">
        <f>_xlfn.XLOOKUP(A21,current!$A:$A,current!$B:$B,"no match")</f>
        <v>13.13</v>
      </c>
      <c r="K21">
        <f t="shared" si="1"/>
        <v>9587592.5273175891</v>
      </c>
      <c r="L21">
        <f t="shared" si="2"/>
        <v>125885089.88367996</v>
      </c>
      <c r="M21">
        <f t="shared" si="3"/>
        <v>11921760</v>
      </c>
      <c r="N21" t="str">
        <f t="shared" si="12"/>
        <v>SPY-2019-Q4</v>
      </c>
      <c r="O21">
        <f>_xlfn.XLOOKUP(N21,prices!$A:$A,prices!$F:$F,"no match")</f>
        <v>279.45999999999998</v>
      </c>
      <c r="P21">
        <f t="shared" si="4"/>
        <v>973305.66091748374</v>
      </c>
      <c r="Q21">
        <f>IF(P21="","",P21*assumptions!$B$4)</f>
        <v>749630286.98203683</v>
      </c>
      <c r="R21" s="10">
        <f t="shared" ca="1" si="5"/>
        <v>6.6885694729637235</v>
      </c>
      <c r="S21">
        <f ca="1">IF(E21="","",E21*1000000*(1+assumptions!$B$3)^R21)</f>
        <v>352452583.86902493</v>
      </c>
      <c r="T21">
        <f t="shared" si="6"/>
        <v>1</v>
      </c>
      <c r="U21">
        <f t="shared" si="7"/>
        <v>23</v>
      </c>
      <c r="V21">
        <f t="shared" si="8"/>
        <v>526.39130434782612</v>
      </c>
      <c r="W21">
        <f t="shared" si="9"/>
        <v>18554504.911802117</v>
      </c>
      <c r="X21">
        <f t="shared" si="10"/>
        <v>243620649.49196181</v>
      </c>
    </row>
    <row r="22" spans="1:24" x14ac:dyDescent="0.2">
      <c r="A22" t="s">
        <v>6</v>
      </c>
      <c r="B22">
        <v>2020</v>
      </c>
      <c r="C22" t="s">
        <v>7</v>
      </c>
      <c r="D22" s="1">
        <v>43921</v>
      </c>
      <c r="E22" s="14">
        <v>171</v>
      </c>
      <c r="F22" t="s">
        <v>8</v>
      </c>
      <c r="G22" t="str">
        <f t="shared" si="11"/>
        <v/>
      </c>
      <c r="H22" t="str">
        <f t="shared" si="0"/>
        <v>AAL-2020-Q1</v>
      </c>
      <c r="I22" s="3">
        <f>_xlfn.XLOOKUP(H22,prices!A:A,prices!F:F,"no match")</f>
        <v>22.75</v>
      </c>
      <c r="J22">
        <f>_xlfn.XLOOKUP(A22,current!$A:$A,current!$B:$B,"no match")</f>
        <v>13.13</v>
      </c>
      <c r="K22">
        <f t="shared" si="1"/>
        <v>7516483.5164835164</v>
      </c>
      <c r="L22">
        <f t="shared" si="2"/>
        <v>98691428.571428582</v>
      </c>
      <c r="M22">
        <f t="shared" si="3"/>
        <v>7510491</v>
      </c>
      <c r="N22" t="str">
        <f t="shared" si="12"/>
        <v>SPY-2020-Q1</v>
      </c>
      <c r="O22">
        <f>_xlfn.XLOOKUP(N22,prices!$A:$A,prices!$F:$F,"no match")</f>
        <v>278.20999999999998</v>
      </c>
      <c r="P22">
        <f t="shared" si="4"/>
        <v>614643.61453578237</v>
      </c>
      <c r="Q22">
        <f>IF(P22="","",P22*assumptions!$B$4)</f>
        <v>473392365.47931427</v>
      </c>
      <c r="R22" s="10">
        <f t="shared" ca="1" si="5"/>
        <v>6.4394250513347027</v>
      </c>
      <c r="S22">
        <f ca="1">IF(E22="","",E22*1000000*(1+assumptions!$B$3)^R22)</f>
        <v>219450298.73977634</v>
      </c>
      <c r="T22">
        <f t="shared" si="6"/>
        <v>1</v>
      </c>
      <c r="U22">
        <f t="shared" si="7"/>
        <v>23</v>
      </c>
      <c r="V22">
        <f t="shared" si="8"/>
        <v>526.39130434782612</v>
      </c>
      <c r="W22">
        <f t="shared" si="9"/>
        <v>23138079.311992358</v>
      </c>
      <c r="X22">
        <f t="shared" si="10"/>
        <v>303802981.36645967</v>
      </c>
    </row>
    <row r="23" spans="1:24" x14ac:dyDescent="0.2">
      <c r="A23" t="s">
        <v>6</v>
      </c>
      <c r="B23">
        <v>2020</v>
      </c>
      <c r="C23" t="s">
        <v>9</v>
      </c>
      <c r="D23" s="1">
        <v>44012</v>
      </c>
      <c r="E23" s="14">
        <v>2</v>
      </c>
      <c r="F23" t="s">
        <v>8</v>
      </c>
      <c r="G23" t="str">
        <f t="shared" si="11"/>
        <v/>
      </c>
      <c r="H23" t="str">
        <f t="shared" si="0"/>
        <v>AAL-2020-Q2</v>
      </c>
      <c r="I23" s="3">
        <f>_xlfn.XLOOKUP(H23,prices!A:A,prices!F:F,"no match")</f>
        <v>12.13</v>
      </c>
      <c r="J23">
        <f>_xlfn.XLOOKUP(A23,current!$A:$A,current!$B:$B,"no match")</f>
        <v>13.13</v>
      </c>
      <c r="K23">
        <f t="shared" si="1"/>
        <v>164880.46166529265</v>
      </c>
      <c r="L23">
        <f t="shared" si="2"/>
        <v>2164880.4616652927</v>
      </c>
      <c r="M23">
        <f t="shared" si="3"/>
        <v>88024</v>
      </c>
      <c r="N23" t="str">
        <f t="shared" si="12"/>
        <v>SPY-2020-Q2</v>
      </c>
      <c r="O23">
        <f>_xlfn.XLOOKUP(N23,prices!$A:$A,prices!$F:$F,"no match")</f>
        <v>268.52999999999997</v>
      </c>
      <c r="P23">
        <f t="shared" si="4"/>
        <v>7447.9573976836864</v>
      </c>
      <c r="Q23">
        <f>IF(P23="","",P23*assumptions!$B$4)</f>
        <v>5736342.3081219988</v>
      </c>
      <c r="R23" s="10">
        <f t="shared" ca="1" si="5"/>
        <v>6.1902806297056809</v>
      </c>
      <c r="S23">
        <f ca="1">IF(E23="","",E23*1000000*(1+assumptions!$B$3)^R23)</f>
        <v>2542016.3110874374</v>
      </c>
      <c r="T23">
        <f t="shared" si="6"/>
        <v>1</v>
      </c>
      <c r="U23">
        <f t="shared" si="7"/>
        <v>23</v>
      </c>
      <c r="V23">
        <f t="shared" si="8"/>
        <v>526.39130434782612</v>
      </c>
      <c r="W23">
        <f t="shared" si="9"/>
        <v>43395820.638732575</v>
      </c>
      <c r="X23">
        <f t="shared" si="10"/>
        <v>569787124.98655879</v>
      </c>
    </row>
    <row r="24" spans="1:24" x14ac:dyDescent="0.2">
      <c r="A24" t="s">
        <v>6</v>
      </c>
      <c r="B24">
        <v>2020</v>
      </c>
      <c r="C24" t="s">
        <v>10</v>
      </c>
      <c r="D24" s="1">
        <v>44104</v>
      </c>
      <c r="E24" s="14">
        <v>0</v>
      </c>
      <c r="F24" t="s">
        <v>8</v>
      </c>
      <c r="G24" t="str">
        <f t="shared" si="11"/>
        <v/>
      </c>
      <c r="H24" t="str">
        <f t="shared" si="0"/>
        <v>AAL-2020-Q3</v>
      </c>
      <c r="I24" s="3">
        <f>_xlfn.XLOOKUP(H24,prices!A:A,prices!F:F,"no match")</f>
        <v>12.53</v>
      </c>
      <c r="J24">
        <f>_xlfn.XLOOKUP(A24,current!$A:$A,current!$B:$B,"no match")</f>
        <v>13.13</v>
      </c>
      <c r="K24">
        <f t="shared" si="1"/>
        <v>0</v>
      </c>
      <c r="L24">
        <f t="shared" si="2"/>
        <v>0</v>
      </c>
      <c r="M24">
        <f t="shared" si="3"/>
        <v>0</v>
      </c>
      <c r="N24" t="str">
        <f t="shared" si="12"/>
        <v>SPY-2020-Q3</v>
      </c>
      <c r="O24">
        <f>_xlfn.XLOOKUP(N24,prices!$A:$A,prices!$F:$F,"no match")</f>
        <v>305.37</v>
      </c>
      <c r="P24">
        <f t="shared" si="4"/>
        <v>0</v>
      </c>
      <c r="Q24">
        <f>IF(P24="","",P24*assumptions!$B$4)</f>
        <v>0</v>
      </c>
      <c r="R24" s="10">
        <f t="shared" ca="1" si="5"/>
        <v>5.938398357289528</v>
      </c>
      <c r="S24">
        <f ca="1">IF(E24="","",E24*1000000*(1+assumptions!$B$3)^R24)</f>
        <v>0</v>
      </c>
      <c r="T24">
        <f t="shared" si="6"/>
        <v>0</v>
      </c>
      <c r="U24">
        <f t="shared" si="7"/>
        <v>23</v>
      </c>
      <c r="V24">
        <f t="shared" si="8"/>
        <v>0</v>
      </c>
      <c r="W24">
        <f t="shared" si="9"/>
        <v>0</v>
      </c>
      <c r="X24">
        <f t="shared" si="10"/>
        <v>0</v>
      </c>
    </row>
    <row r="25" spans="1:24" x14ac:dyDescent="0.2">
      <c r="A25" t="s">
        <v>6</v>
      </c>
      <c r="B25">
        <v>2020</v>
      </c>
      <c r="C25" t="s">
        <v>11</v>
      </c>
      <c r="D25" s="1">
        <v>44196</v>
      </c>
      <c r="E25" s="14">
        <v>0</v>
      </c>
      <c r="F25" t="s">
        <v>8</v>
      </c>
      <c r="G25" t="str">
        <f t="shared" si="11"/>
        <v/>
      </c>
      <c r="H25" t="str">
        <f t="shared" si="0"/>
        <v>AAL-2020-Q4</v>
      </c>
      <c r="I25" s="3">
        <f>_xlfn.XLOOKUP(H25,prices!A:A,prices!F:F,"no match")</f>
        <v>13.86</v>
      </c>
      <c r="J25">
        <f>_xlfn.XLOOKUP(A25,current!$A:$A,current!$B:$B,"no match")</f>
        <v>13.13</v>
      </c>
      <c r="K25">
        <f t="shared" si="1"/>
        <v>0</v>
      </c>
      <c r="L25">
        <f t="shared" si="2"/>
        <v>0</v>
      </c>
      <c r="M25">
        <f t="shared" si="3"/>
        <v>0</v>
      </c>
      <c r="N25" t="str">
        <f t="shared" si="12"/>
        <v>SPY-2020-Q4</v>
      </c>
      <c r="O25">
        <f>_xlfn.XLOOKUP(N25,prices!$A:$A,prices!$F:$F,"no match")</f>
        <v>328.23</v>
      </c>
      <c r="P25">
        <f t="shared" si="4"/>
        <v>0</v>
      </c>
      <c r="Q25">
        <f>IF(P25="","",P25*assumptions!$B$4)</f>
        <v>0</v>
      </c>
      <c r="R25" s="10">
        <f t="shared" ca="1" si="5"/>
        <v>5.6865160848733742</v>
      </c>
      <c r="S25">
        <f ca="1">IF(E25="","",E25*1000000*(1+assumptions!$B$3)^R25)</f>
        <v>0</v>
      </c>
      <c r="T25">
        <f t="shared" si="6"/>
        <v>0</v>
      </c>
      <c r="U25">
        <f t="shared" si="7"/>
        <v>23</v>
      </c>
      <c r="V25">
        <f t="shared" si="8"/>
        <v>0</v>
      </c>
      <c r="W25">
        <f t="shared" si="9"/>
        <v>0</v>
      </c>
      <c r="X25">
        <f t="shared" si="10"/>
        <v>0</v>
      </c>
    </row>
    <row r="26" spans="1:24" x14ac:dyDescent="0.2">
      <c r="A26" t="s">
        <v>6</v>
      </c>
      <c r="B26">
        <v>2021</v>
      </c>
      <c r="C26" t="s">
        <v>7</v>
      </c>
      <c r="D26" s="1">
        <v>44286</v>
      </c>
      <c r="E26" s="14">
        <v>13</v>
      </c>
      <c r="F26" t="s">
        <v>8</v>
      </c>
      <c r="G26" t="str">
        <f t="shared" si="11"/>
        <v/>
      </c>
      <c r="H26" t="str">
        <f t="shared" si="0"/>
        <v>AAL-2021-Q1</v>
      </c>
      <c r="I26" s="3">
        <f>_xlfn.XLOOKUP(H26,prices!A:A,prices!F:F,"no match")</f>
        <v>19.29</v>
      </c>
      <c r="J26">
        <f>_xlfn.XLOOKUP(A26,current!$A:$A,current!$B:$B,"no match")</f>
        <v>13.13</v>
      </c>
      <c r="K26">
        <f t="shared" si="1"/>
        <v>673924.31311560399</v>
      </c>
      <c r="L26">
        <f t="shared" si="2"/>
        <v>8848626.2312078811</v>
      </c>
      <c r="M26">
        <f t="shared" si="3"/>
        <v>575718</v>
      </c>
      <c r="N26" t="str">
        <f t="shared" si="12"/>
        <v>SPY-2021-Q1</v>
      </c>
      <c r="O26">
        <f>_xlfn.XLOOKUP(N26,prices!$A:$A,prices!$F:$F,"no match")</f>
        <v>358.26</v>
      </c>
      <c r="P26">
        <f t="shared" si="4"/>
        <v>36286.495841009324</v>
      </c>
      <c r="Q26">
        <f>IF(P26="","",P26*assumptions!$B$4)</f>
        <v>27947496.231786974</v>
      </c>
      <c r="R26" s="10">
        <f t="shared" ca="1" si="5"/>
        <v>5.4401095140314855</v>
      </c>
      <c r="S26">
        <f ca="1">IF(E26="","",E26*1000000*(1+assumptions!$B$3)^R26)</f>
        <v>16049830.135386074</v>
      </c>
      <c r="T26">
        <f t="shared" si="6"/>
        <v>1</v>
      </c>
      <c r="U26">
        <f t="shared" si="7"/>
        <v>23</v>
      </c>
      <c r="V26">
        <f t="shared" si="8"/>
        <v>526.39130434782612</v>
      </c>
      <c r="W26">
        <f t="shared" si="9"/>
        <v>27288299.862510428</v>
      </c>
      <c r="X26">
        <f t="shared" si="10"/>
        <v>358295377.19476193</v>
      </c>
    </row>
    <row r="27" spans="1:24" x14ac:dyDescent="0.2">
      <c r="A27" t="s">
        <v>6</v>
      </c>
      <c r="B27">
        <v>2021</v>
      </c>
      <c r="C27" t="s">
        <v>9</v>
      </c>
      <c r="D27" s="1">
        <v>44377</v>
      </c>
      <c r="E27" s="14">
        <v>0</v>
      </c>
      <c r="F27" t="s">
        <v>8</v>
      </c>
      <c r="G27" t="str">
        <f t="shared" si="11"/>
        <v/>
      </c>
      <c r="H27" t="str">
        <f t="shared" si="0"/>
        <v>AAL-2021-Q2</v>
      </c>
      <c r="I27" s="3">
        <f>_xlfn.XLOOKUP(H27,prices!A:A,prices!F:F,"no match")</f>
        <v>22.62</v>
      </c>
      <c r="J27">
        <f>_xlfn.XLOOKUP(A27,current!$A:$A,current!$B:$B,"no match")</f>
        <v>13.13</v>
      </c>
      <c r="K27">
        <f t="shared" si="1"/>
        <v>0</v>
      </c>
      <c r="L27">
        <f t="shared" si="2"/>
        <v>0</v>
      </c>
      <c r="M27">
        <f t="shared" si="3"/>
        <v>0</v>
      </c>
      <c r="N27" t="str">
        <f t="shared" si="12"/>
        <v>SPY-2021-Q2</v>
      </c>
      <c r="O27">
        <f>_xlfn.XLOOKUP(N27,prices!$A:$A,prices!$F:$F,"no match")</f>
        <v>389.03</v>
      </c>
      <c r="P27">
        <f t="shared" si="4"/>
        <v>0</v>
      </c>
      <c r="Q27">
        <f>IF(P27="","",P27*assumptions!$B$4)</f>
        <v>0</v>
      </c>
      <c r="R27" s="10">
        <f t="shared" ca="1" si="5"/>
        <v>5.1909650924024637</v>
      </c>
      <c r="S27">
        <f ca="1">IF(E27="","",E27*1000000*(1+assumptions!$B$3)^R27)</f>
        <v>0</v>
      </c>
      <c r="T27">
        <f t="shared" si="6"/>
        <v>0</v>
      </c>
      <c r="U27">
        <f t="shared" si="7"/>
        <v>23</v>
      </c>
      <c r="V27">
        <f t="shared" si="8"/>
        <v>0</v>
      </c>
      <c r="W27">
        <f t="shared" si="9"/>
        <v>0</v>
      </c>
      <c r="X27">
        <f t="shared" si="10"/>
        <v>0</v>
      </c>
    </row>
    <row r="28" spans="1:24" x14ac:dyDescent="0.2">
      <c r="A28" t="s">
        <v>6</v>
      </c>
      <c r="B28">
        <v>2021</v>
      </c>
      <c r="C28" t="s">
        <v>10</v>
      </c>
      <c r="D28" s="1">
        <v>44469</v>
      </c>
      <c r="E28" s="14">
        <v>0</v>
      </c>
      <c r="F28" t="s">
        <v>8</v>
      </c>
      <c r="G28" t="str">
        <f t="shared" si="11"/>
        <v/>
      </c>
      <c r="H28" t="str">
        <f t="shared" si="0"/>
        <v>AAL-2021-Q3</v>
      </c>
      <c r="I28" s="3">
        <f>_xlfn.XLOOKUP(H28,prices!A:A,prices!F:F,"no match")</f>
        <v>20.27</v>
      </c>
      <c r="J28">
        <f>_xlfn.XLOOKUP(A28,current!$A:$A,current!$B:$B,"no match")</f>
        <v>13.13</v>
      </c>
      <c r="K28">
        <f t="shared" si="1"/>
        <v>0</v>
      </c>
      <c r="L28">
        <f t="shared" si="2"/>
        <v>0</v>
      </c>
      <c r="M28">
        <f t="shared" si="3"/>
        <v>0</v>
      </c>
      <c r="N28" t="str">
        <f t="shared" si="12"/>
        <v>SPY-2021-Q3</v>
      </c>
      <c r="O28">
        <f>_xlfn.XLOOKUP(N28,prices!$A:$A,prices!$F:$F,"no match")</f>
        <v>412.48</v>
      </c>
      <c r="P28">
        <f t="shared" si="4"/>
        <v>0</v>
      </c>
      <c r="Q28">
        <f>IF(P28="","",P28*assumptions!$B$4)</f>
        <v>0</v>
      </c>
      <c r="R28" s="10">
        <f t="shared" ca="1" si="5"/>
        <v>4.9390828199863108</v>
      </c>
      <c r="S28">
        <f ca="1">IF(E28="","",E28*1000000*(1+assumptions!$B$3)^R28)</f>
        <v>0</v>
      </c>
      <c r="T28">
        <f t="shared" si="6"/>
        <v>0</v>
      </c>
      <c r="U28">
        <f t="shared" si="7"/>
        <v>23</v>
      </c>
      <c r="V28">
        <f t="shared" si="8"/>
        <v>0</v>
      </c>
      <c r="W28">
        <f t="shared" si="9"/>
        <v>0</v>
      </c>
      <c r="X28">
        <f t="shared" si="10"/>
        <v>0</v>
      </c>
    </row>
    <row r="29" spans="1:24" x14ac:dyDescent="0.2">
      <c r="A29" t="s">
        <v>6</v>
      </c>
      <c r="B29">
        <v>2021</v>
      </c>
      <c r="C29" t="s">
        <v>11</v>
      </c>
      <c r="D29" s="1">
        <v>44561</v>
      </c>
      <c r="E29" s="14">
        <v>5</v>
      </c>
      <c r="F29" t="s">
        <v>8</v>
      </c>
      <c r="G29" t="str">
        <f t="shared" si="11"/>
        <v/>
      </c>
      <c r="H29" t="str">
        <f t="shared" si="0"/>
        <v>AAL-2021-Q4</v>
      </c>
      <c r="I29" s="3">
        <f>_xlfn.XLOOKUP(H29,prices!A:A,prices!F:F,"no match")</f>
        <v>19.18</v>
      </c>
      <c r="J29">
        <f>_xlfn.XLOOKUP(A29,current!$A:$A,current!$B:$B,"no match")</f>
        <v>13.13</v>
      </c>
      <c r="K29">
        <f t="shared" si="1"/>
        <v>260688.21689259645</v>
      </c>
      <c r="L29">
        <f t="shared" si="2"/>
        <v>3422836.2877997914</v>
      </c>
      <c r="M29">
        <f t="shared" si="3"/>
        <v>222805</v>
      </c>
      <c r="N29" t="str">
        <f t="shared" si="12"/>
        <v>SPY-2021-Q4</v>
      </c>
      <c r="O29">
        <f>_xlfn.XLOOKUP(N29,prices!$A:$A,prices!$F:$F,"no match")</f>
        <v>430.69</v>
      </c>
      <c r="P29">
        <f t="shared" si="4"/>
        <v>11609.27813508556</v>
      </c>
      <c r="Q29">
        <f>IF(P29="","",P29*assumptions!$B$4)</f>
        <v>8941349.9268615488</v>
      </c>
      <c r="R29" s="10">
        <f t="shared" ca="1" si="5"/>
        <v>4.687200547570157</v>
      </c>
      <c r="S29">
        <f ca="1">IF(E29="","",E29*1000000*(1+assumptions!$B$3)^R29)</f>
        <v>5995560.3695447398</v>
      </c>
      <c r="T29">
        <f t="shared" si="6"/>
        <v>1</v>
      </c>
      <c r="U29">
        <f t="shared" si="7"/>
        <v>23</v>
      </c>
      <c r="V29">
        <f t="shared" si="8"/>
        <v>526.39130434782612</v>
      </c>
      <c r="W29">
        <f t="shared" si="9"/>
        <v>27444802.103640571</v>
      </c>
      <c r="X29">
        <f t="shared" si="10"/>
        <v>360350251.62080073</v>
      </c>
    </row>
    <row r="30" spans="1:24" x14ac:dyDescent="0.2">
      <c r="A30" t="s">
        <v>6</v>
      </c>
      <c r="B30">
        <v>2022</v>
      </c>
      <c r="C30" t="s">
        <v>7</v>
      </c>
      <c r="D30" s="1">
        <v>44651</v>
      </c>
      <c r="E30" s="14">
        <v>0</v>
      </c>
      <c r="F30" t="s">
        <v>12</v>
      </c>
      <c r="G30" t="str">
        <f t="shared" si="11"/>
        <v>no repurchases reported</v>
      </c>
      <c r="H30" t="str">
        <f t="shared" si="0"/>
        <v>AAL-2022-Q1</v>
      </c>
      <c r="I30" s="3">
        <f>_xlfn.XLOOKUP(H30,prices!A:A,prices!F:F,"no match")</f>
        <v>17</v>
      </c>
      <c r="J30">
        <f>_xlfn.XLOOKUP(A30,current!$A:$A,current!$B:$B,"no match")</f>
        <v>13.13</v>
      </c>
      <c r="K30">
        <f t="shared" si="1"/>
        <v>0</v>
      </c>
      <c r="L30">
        <f t="shared" si="2"/>
        <v>0</v>
      </c>
      <c r="M30">
        <f t="shared" si="3"/>
        <v>0</v>
      </c>
      <c r="N30" t="str">
        <f t="shared" si="12"/>
        <v>SPY-2022-Q1</v>
      </c>
      <c r="O30">
        <f>_xlfn.XLOOKUP(N30,prices!$A:$A,prices!$F:$F,"no match")</f>
        <v>419.12</v>
      </c>
      <c r="P30">
        <f t="shared" si="4"/>
        <v>0</v>
      </c>
      <c r="Q30">
        <f>IF(P30="","",P30*assumptions!$B$4)</f>
        <v>0</v>
      </c>
      <c r="R30" s="10">
        <f t="shared" ca="1" si="5"/>
        <v>4.4407939767282683</v>
      </c>
      <c r="S30">
        <f ca="1">IF(E30="","",E30*1000000*(1+assumptions!$B$3)^R30)</f>
        <v>0</v>
      </c>
      <c r="T30">
        <f t="shared" si="6"/>
        <v>0</v>
      </c>
      <c r="U30">
        <f t="shared" si="7"/>
        <v>23</v>
      </c>
      <c r="V30">
        <f t="shared" si="8"/>
        <v>0</v>
      </c>
      <c r="W30">
        <f t="shared" si="9"/>
        <v>0</v>
      </c>
      <c r="X30">
        <f t="shared" si="10"/>
        <v>0</v>
      </c>
    </row>
    <row r="31" spans="1:24" x14ac:dyDescent="0.2">
      <c r="A31" t="s">
        <v>6</v>
      </c>
      <c r="B31">
        <v>2022</v>
      </c>
      <c r="C31" t="s">
        <v>9</v>
      </c>
      <c r="D31" s="1">
        <v>44742</v>
      </c>
      <c r="E31" s="14">
        <v>0</v>
      </c>
      <c r="F31" t="s">
        <v>12</v>
      </c>
      <c r="G31" t="str">
        <f t="shared" si="11"/>
        <v>no repurchases reported</v>
      </c>
      <c r="H31" t="str">
        <f t="shared" si="0"/>
        <v>AAL-2022-Q2</v>
      </c>
      <c r="I31" s="3">
        <f>_xlfn.XLOOKUP(H31,prices!A:A,prices!F:F,"no match")</f>
        <v>16.649999999999999</v>
      </c>
      <c r="J31">
        <f>_xlfn.XLOOKUP(A31,current!$A:$A,current!$B:$B,"no match")</f>
        <v>13.13</v>
      </c>
      <c r="K31">
        <f t="shared" si="1"/>
        <v>0</v>
      </c>
      <c r="L31">
        <f t="shared" si="2"/>
        <v>0</v>
      </c>
      <c r="M31">
        <f t="shared" si="3"/>
        <v>0</v>
      </c>
      <c r="N31" t="str">
        <f t="shared" si="12"/>
        <v>SPY-2022-Q2</v>
      </c>
      <c r="O31">
        <f>_xlfn.XLOOKUP(N31,prices!$A:$A,prices!$F:$F,"no match")</f>
        <v>386.88</v>
      </c>
      <c r="P31">
        <f t="shared" si="4"/>
        <v>0</v>
      </c>
      <c r="Q31">
        <f>IF(P31="","",P31*assumptions!$B$4)</f>
        <v>0</v>
      </c>
      <c r="R31" s="10">
        <f t="shared" ca="1" si="5"/>
        <v>4.1916495550992474</v>
      </c>
      <c r="S31">
        <f ca="1">IF(E31="","",E31*1000000*(1+assumptions!$B$3)^R31)</f>
        <v>0</v>
      </c>
      <c r="T31">
        <f t="shared" si="6"/>
        <v>0</v>
      </c>
      <c r="U31">
        <f t="shared" si="7"/>
        <v>23</v>
      </c>
      <c r="V31">
        <f t="shared" si="8"/>
        <v>0</v>
      </c>
      <c r="W31">
        <f t="shared" si="9"/>
        <v>0</v>
      </c>
      <c r="X31">
        <f t="shared" si="10"/>
        <v>0</v>
      </c>
    </row>
    <row r="32" spans="1:24" x14ac:dyDescent="0.2">
      <c r="A32" t="s">
        <v>6</v>
      </c>
      <c r="B32">
        <v>2022</v>
      </c>
      <c r="C32" t="s">
        <v>10</v>
      </c>
      <c r="D32" s="1">
        <v>44834</v>
      </c>
      <c r="E32" s="14">
        <v>0</v>
      </c>
      <c r="F32" t="s">
        <v>12</v>
      </c>
      <c r="G32" t="str">
        <f t="shared" si="11"/>
        <v>no repurchases reported</v>
      </c>
      <c r="H32" t="str">
        <f t="shared" si="0"/>
        <v>AAL-2022-Q3</v>
      </c>
      <c r="I32" s="3">
        <f>_xlfn.XLOOKUP(H32,prices!A:A,prices!F:F,"no match")</f>
        <v>13.94</v>
      </c>
      <c r="J32">
        <f>_xlfn.XLOOKUP(A32,current!$A:$A,current!$B:$B,"no match")</f>
        <v>13.13</v>
      </c>
      <c r="K32">
        <f t="shared" si="1"/>
        <v>0</v>
      </c>
      <c r="L32">
        <f t="shared" si="2"/>
        <v>0</v>
      </c>
      <c r="M32">
        <f t="shared" si="3"/>
        <v>0</v>
      </c>
      <c r="N32" t="str">
        <f t="shared" si="12"/>
        <v>SPY-2022-Q3</v>
      </c>
      <c r="O32">
        <f>_xlfn.XLOOKUP(N32,prices!$A:$A,prices!$F:$F,"no match")</f>
        <v>376.69</v>
      </c>
      <c r="P32">
        <f t="shared" si="4"/>
        <v>0</v>
      </c>
      <c r="Q32">
        <f>IF(P32="","",P32*assumptions!$B$4)</f>
        <v>0</v>
      </c>
      <c r="R32" s="10">
        <f t="shared" ca="1" si="5"/>
        <v>3.9397672826830936</v>
      </c>
      <c r="S32">
        <f ca="1">IF(E32="","",E32*1000000*(1+assumptions!$B$3)^R32)</f>
        <v>0</v>
      </c>
      <c r="T32">
        <f t="shared" si="6"/>
        <v>0</v>
      </c>
      <c r="U32">
        <f t="shared" si="7"/>
        <v>23</v>
      </c>
      <c r="V32">
        <f t="shared" si="8"/>
        <v>0</v>
      </c>
      <c r="W32">
        <f t="shared" si="9"/>
        <v>0</v>
      </c>
      <c r="X32">
        <f t="shared" si="10"/>
        <v>0</v>
      </c>
    </row>
    <row r="33" spans="1:24" x14ac:dyDescent="0.2">
      <c r="A33" t="s">
        <v>6</v>
      </c>
      <c r="B33">
        <v>2022</v>
      </c>
      <c r="C33" t="s">
        <v>11</v>
      </c>
      <c r="D33" s="1">
        <v>44926</v>
      </c>
      <c r="E33" s="14">
        <v>21</v>
      </c>
      <c r="F33" t="s">
        <v>8</v>
      </c>
      <c r="G33" t="str">
        <f t="shared" si="11"/>
        <v/>
      </c>
      <c r="H33" t="str">
        <f t="shared" si="0"/>
        <v>AAL-2022-Q4</v>
      </c>
      <c r="I33" s="3">
        <f>_xlfn.XLOOKUP(H33,prices!A:A,prices!F:F,"no match")</f>
        <v>13.56</v>
      </c>
      <c r="J33">
        <f>_xlfn.XLOOKUP(A33,current!$A:$A,current!$B:$B,"no match")</f>
        <v>13.13</v>
      </c>
      <c r="K33">
        <f t="shared" si="1"/>
        <v>1548672.5663716814</v>
      </c>
      <c r="L33">
        <f t="shared" si="2"/>
        <v>20334070.796460178</v>
      </c>
      <c r="M33">
        <f t="shared" si="3"/>
        <v>943446</v>
      </c>
      <c r="N33" t="str">
        <f t="shared" si="12"/>
        <v>SPY-2022-Q4</v>
      </c>
      <c r="O33">
        <f>_xlfn.XLOOKUP(N33,prices!$A:$A,prices!$F:$F,"no match")</f>
        <v>366.1</v>
      </c>
      <c r="P33">
        <f t="shared" si="4"/>
        <v>57361.376673040148</v>
      </c>
      <c r="Q33">
        <f>IF(P33="","",P33*assumptions!$B$4)</f>
        <v>44179158.699808791</v>
      </c>
      <c r="R33" s="10">
        <f t="shared" ca="1" si="5"/>
        <v>3.6878850102669403</v>
      </c>
      <c r="S33">
        <f ca="1">IF(E33="","",E33*1000000*(1+assumptions!$B$3)^R33)</f>
        <v>24225128.685800254</v>
      </c>
      <c r="T33">
        <f t="shared" si="6"/>
        <v>1</v>
      </c>
      <c r="U33">
        <f t="shared" si="7"/>
        <v>23</v>
      </c>
      <c r="V33">
        <f t="shared" si="8"/>
        <v>526.39130434782612</v>
      </c>
      <c r="W33">
        <f t="shared" si="9"/>
        <v>38819417.724765934</v>
      </c>
      <c r="X33">
        <f t="shared" si="10"/>
        <v>509698954.72617674</v>
      </c>
    </row>
    <row r="34" spans="1:24" x14ac:dyDescent="0.2">
      <c r="A34" t="s">
        <v>13</v>
      </c>
      <c r="B34">
        <v>2015</v>
      </c>
      <c r="C34" t="s">
        <v>7</v>
      </c>
      <c r="D34" s="1">
        <v>42094</v>
      </c>
      <c r="E34" s="14">
        <v>102</v>
      </c>
      <c r="F34" t="s">
        <v>8</v>
      </c>
      <c r="G34" t="str">
        <f t="shared" si="11"/>
        <v/>
      </c>
      <c r="H34" t="str">
        <f t="shared" si="0"/>
        <v>ALK-2015-Q1</v>
      </c>
      <c r="I34" s="3">
        <f>_xlfn.XLOOKUP(H34,prices!A:A,prices!F:F,"no match")</f>
        <v>59.43</v>
      </c>
      <c r="J34">
        <f>_xlfn.XLOOKUP(A34,current!$A:$A,current!$B:$B,"no match")</f>
        <v>42.04</v>
      </c>
      <c r="K34">
        <f t="shared" si="1"/>
        <v>1716304.8965169108</v>
      </c>
      <c r="L34">
        <f t="shared" si="2"/>
        <v>72153457.84957093</v>
      </c>
      <c r="M34">
        <f t="shared" si="3"/>
        <v>4293588</v>
      </c>
      <c r="N34" t="str">
        <f t="shared" si="12"/>
        <v>SPY-2015-Q1</v>
      </c>
      <c r="O34">
        <f>_xlfn.XLOOKUP(N34,prices!$A:$A,prices!$F:$F,"no match")</f>
        <v>170.57</v>
      </c>
      <c r="P34">
        <f t="shared" si="4"/>
        <v>597994.95808172598</v>
      </c>
      <c r="Q34">
        <f>IF(P34="","",P34*assumptions!$B$4)</f>
        <v>460569736.76496458</v>
      </c>
      <c r="R34" s="10">
        <f t="shared" ca="1" si="5"/>
        <v>11.441478439425051</v>
      </c>
      <c r="S34">
        <f ca="1">IF(E34="","",E34*1000000*(1+assumptions!$B$3)^R34)</f>
        <v>158890251.81030199</v>
      </c>
      <c r="T34">
        <f t="shared" si="6"/>
        <v>1</v>
      </c>
      <c r="U34">
        <f t="shared" si="7"/>
        <v>31</v>
      </c>
      <c r="V34">
        <f t="shared" si="8"/>
        <v>70.903225806451616</v>
      </c>
      <c r="W34">
        <f t="shared" si="9"/>
        <v>1193054.4473574224</v>
      </c>
      <c r="X34">
        <f t="shared" si="10"/>
        <v>50156008.966906041</v>
      </c>
    </row>
    <row r="35" spans="1:24" x14ac:dyDescent="0.2">
      <c r="A35" t="s">
        <v>13</v>
      </c>
      <c r="B35">
        <v>2015</v>
      </c>
      <c r="C35" t="s">
        <v>9</v>
      </c>
      <c r="D35" s="1">
        <v>42185</v>
      </c>
      <c r="E35" s="14">
        <v>160</v>
      </c>
      <c r="F35" t="s">
        <v>8</v>
      </c>
      <c r="G35" t="str">
        <f t="shared" si="11"/>
        <v/>
      </c>
      <c r="H35" t="str">
        <f t="shared" si="0"/>
        <v>ALK-2015-Q2</v>
      </c>
      <c r="I35" s="3">
        <f>_xlfn.XLOOKUP(H35,prices!A:A,prices!F:F,"no match")</f>
        <v>59.18</v>
      </c>
      <c r="J35">
        <f>_xlfn.XLOOKUP(A35,current!$A:$A,current!$B:$B,"no match")</f>
        <v>42.04</v>
      </c>
      <c r="K35">
        <f t="shared" si="1"/>
        <v>2703616.0865157149</v>
      </c>
      <c r="L35">
        <f t="shared" si="2"/>
        <v>113660020.27712065</v>
      </c>
      <c r="M35">
        <f t="shared" si="3"/>
        <v>6749600</v>
      </c>
      <c r="N35" t="str">
        <f t="shared" si="12"/>
        <v>SPY-2015-Q2</v>
      </c>
      <c r="O35">
        <f>_xlfn.XLOOKUP(N35,prices!$A:$A,prices!$F:$F,"no match")</f>
        <v>174.56</v>
      </c>
      <c r="P35">
        <f t="shared" si="4"/>
        <v>916590.28414298804</v>
      </c>
      <c r="Q35">
        <f>IF(P35="","",P35*assumptions!$B$4)</f>
        <v>705948670.94408798</v>
      </c>
      <c r="R35" s="10">
        <f t="shared" ca="1" si="5"/>
        <v>11.19233401779603</v>
      </c>
      <c r="S35">
        <f ca="1">IF(E35="","",E35*1000000*(1+assumptions!$B$3)^R35)</f>
        <v>246845568.79417995</v>
      </c>
      <c r="T35">
        <f t="shared" si="6"/>
        <v>1</v>
      </c>
      <c r="U35">
        <f t="shared" si="7"/>
        <v>31</v>
      </c>
      <c r="V35">
        <f t="shared" si="8"/>
        <v>70.903225806451616</v>
      </c>
      <c r="W35">
        <f t="shared" si="9"/>
        <v>1198094.3867261172</v>
      </c>
      <c r="X35">
        <f t="shared" si="10"/>
        <v>50367888.017965965</v>
      </c>
    </row>
    <row r="36" spans="1:24" x14ac:dyDescent="0.2">
      <c r="A36" t="s">
        <v>13</v>
      </c>
      <c r="B36">
        <v>2015</v>
      </c>
      <c r="C36" t="s">
        <v>10</v>
      </c>
      <c r="D36" s="1">
        <v>42277</v>
      </c>
      <c r="E36" s="14">
        <v>119</v>
      </c>
      <c r="F36" t="s">
        <v>8</v>
      </c>
      <c r="G36" t="str">
        <f t="shared" si="11"/>
        <v/>
      </c>
      <c r="H36" t="str">
        <f t="shared" si="0"/>
        <v>ALK-2015-Q3</v>
      </c>
      <c r="I36" s="3">
        <f>_xlfn.XLOOKUP(H36,prices!A:A,prices!F:F,"no match")</f>
        <v>70.36</v>
      </c>
      <c r="J36">
        <f>_xlfn.XLOOKUP(A36,current!$A:$A,current!$B:$B,"no match")</f>
        <v>42.04</v>
      </c>
      <c r="K36">
        <f t="shared" si="1"/>
        <v>1691301.8760659466</v>
      </c>
      <c r="L36">
        <f t="shared" si="2"/>
        <v>71102330.869812399</v>
      </c>
      <c r="M36">
        <f t="shared" si="3"/>
        <v>5030963</v>
      </c>
      <c r="N36" t="str">
        <f t="shared" si="12"/>
        <v>SPY-2015-Q3</v>
      </c>
      <c r="O36">
        <f>_xlfn.XLOOKUP(N36,prices!$A:$A,prices!$F:$F,"no match")</f>
        <v>169.23</v>
      </c>
      <c r="P36">
        <f t="shared" si="4"/>
        <v>703185.01447733853</v>
      </c>
      <c r="Q36">
        <f>IF(P36="","",P36*assumptions!$B$4)</f>
        <v>541586066.30030143</v>
      </c>
      <c r="R36" s="10">
        <f t="shared" ca="1" si="5"/>
        <v>10.940451745379876</v>
      </c>
      <c r="S36">
        <f ca="1">IF(E36="","",E36*1000000*(1+assumptions!$B$3)^R36)</f>
        <v>181808641.82893696</v>
      </c>
      <c r="T36">
        <f t="shared" si="6"/>
        <v>1</v>
      </c>
      <c r="U36">
        <f t="shared" si="7"/>
        <v>31</v>
      </c>
      <c r="V36">
        <f t="shared" si="8"/>
        <v>70.903225806451616</v>
      </c>
      <c r="W36">
        <f t="shared" si="9"/>
        <v>1007720.662399824</v>
      </c>
      <c r="X36">
        <f t="shared" si="10"/>
        <v>42364576.647288598</v>
      </c>
    </row>
    <row r="37" spans="1:24" x14ac:dyDescent="0.2">
      <c r="A37" t="s">
        <v>13</v>
      </c>
      <c r="B37">
        <v>2015</v>
      </c>
      <c r="C37" t="s">
        <v>11</v>
      </c>
      <c r="D37" s="1">
        <v>42369</v>
      </c>
      <c r="E37" s="14">
        <v>124</v>
      </c>
      <c r="F37" t="s">
        <v>8</v>
      </c>
      <c r="G37" t="str">
        <f t="shared" si="11"/>
        <v/>
      </c>
      <c r="H37" t="str">
        <f t="shared" si="0"/>
        <v>ALK-2015-Q4</v>
      </c>
      <c r="I37" s="3">
        <f>_xlfn.XLOOKUP(H37,prices!A:A,prices!F:F,"no match")</f>
        <v>73.150000000000006</v>
      </c>
      <c r="J37">
        <f>_xlfn.XLOOKUP(A37,current!$A:$A,current!$B:$B,"no match")</f>
        <v>42.04</v>
      </c>
      <c r="K37">
        <f t="shared" si="1"/>
        <v>1695146.9583048529</v>
      </c>
      <c r="L37">
        <f t="shared" si="2"/>
        <v>71263978.127136022</v>
      </c>
      <c r="M37">
        <f t="shared" si="3"/>
        <v>5253756</v>
      </c>
      <c r="N37" t="str">
        <f t="shared" si="12"/>
        <v>SPY-2015-Q4</v>
      </c>
      <c r="O37">
        <f>_xlfn.XLOOKUP(N37,prices!$A:$A,prices!$F:$F,"no match")</f>
        <v>172.25</v>
      </c>
      <c r="P37">
        <f t="shared" si="4"/>
        <v>719883.8896952105</v>
      </c>
      <c r="Q37">
        <f>IF(P37="","",P37*assumptions!$B$4)</f>
        <v>554447373.00435424</v>
      </c>
      <c r="R37" s="10">
        <f t="shared" ca="1" si="5"/>
        <v>10.688569472963723</v>
      </c>
      <c r="S37">
        <f ca="1">IF(E37="","",E37*1000000*(1+assumptions!$B$3)^R37)</f>
        <v>187608043.5896751</v>
      </c>
      <c r="T37">
        <f t="shared" si="6"/>
        <v>1</v>
      </c>
      <c r="U37">
        <f t="shared" si="7"/>
        <v>31</v>
      </c>
      <c r="V37">
        <f t="shared" si="8"/>
        <v>70.903225806451616</v>
      </c>
      <c r="W37">
        <f t="shared" si="9"/>
        <v>969285.38354684366</v>
      </c>
      <c r="X37">
        <f t="shared" si="10"/>
        <v>40748757.524309307</v>
      </c>
    </row>
    <row r="38" spans="1:24" x14ac:dyDescent="0.2">
      <c r="A38" t="s">
        <v>13</v>
      </c>
      <c r="B38">
        <v>2016</v>
      </c>
      <c r="C38" t="s">
        <v>7</v>
      </c>
      <c r="D38" s="1">
        <v>42460</v>
      </c>
      <c r="E38" s="14">
        <v>127</v>
      </c>
      <c r="F38" t="s">
        <v>8</v>
      </c>
      <c r="G38" t="str">
        <f t="shared" si="11"/>
        <v/>
      </c>
      <c r="H38" t="str">
        <f t="shared" si="0"/>
        <v>ALK-2016-Q1</v>
      </c>
      <c r="I38" s="3">
        <f>_xlfn.XLOOKUP(H38,prices!A:A,prices!F:F,"no match")</f>
        <v>68.47</v>
      </c>
      <c r="J38">
        <f>_xlfn.XLOOKUP(A38,current!$A:$A,current!$B:$B,"no match")</f>
        <v>42.04</v>
      </c>
      <c r="K38">
        <f t="shared" si="1"/>
        <v>1854826.9315028479</v>
      </c>
      <c r="L38">
        <f t="shared" si="2"/>
        <v>77976924.200379729</v>
      </c>
      <c r="M38">
        <f t="shared" si="3"/>
        <v>5392420</v>
      </c>
      <c r="N38" t="str">
        <f t="shared" si="12"/>
        <v>SPY-2016-Q1</v>
      </c>
      <c r="O38">
        <f>_xlfn.XLOOKUP(N38,prices!$A:$A,prices!$F:$F,"no match")</f>
        <v>164.64</v>
      </c>
      <c r="P38">
        <f t="shared" si="4"/>
        <v>771379.9805636541</v>
      </c>
      <c r="Q38">
        <f>IF(P38="","",P38*assumptions!$B$4)</f>
        <v>594109147.23032081</v>
      </c>
      <c r="R38" s="10">
        <f t="shared" ca="1" si="5"/>
        <v>10.439425051334702</v>
      </c>
      <c r="S38">
        <f ca="1">IF(E38="","",E38*1000000*(1+assumptions!$B$3)^R38)</f>
        <v>190301302.86719027</v>
      </c>
      <c r="T38">
        <f t="shared" si="6"/>
        <v>1</v>
      </c>
      <c r="U38">
        <f t="shared" si="7"/>
        <v>31</v>
      </c>
      <c r="V38">
        <f t="shared" si="8"/>
        <v>70.903225806451616</v>
      </c>
      <c r="W38">
        <f t="shared" si="9"/>
        <v>1035537.1083168047</v>
      </c>
      <c r="X38">
        <f t="shared" si="10"/>
        <v>43533980.03363847</v>
      </c>
    </row>
    <row r="39" spans="1:24" x14ac:dyDescent="0.2">
      <c r="A39" t="s">
        <v>13</v>
      </c>
      <c r="B39">
        <v>2016</v>
      </c>
      <c r="C39" t="s">
        <v>9</v>
      </c>
      <c r="D39" s="1">
        <v>42551</v>
      </c>
      <c r="E39" s="14">
        <v>66</v>
      </c>
      <c r="F39" t="s">
        <v>8</v>
      </c>
      <c r="G39" t="str">
        <f t="shared" si="11"/>
        <v/>
      </c>
      <c r="H39" t="str">
        <f t="shared" si="0"/>
        <v>ALK-2016-Q2</v>
      </c>
      <c r="I39" s="3">
        <f>_xlfn.XLOOKUP(H39,prices!A:A,prices!F:F,"no match")</f>
        <v>64.23</v>
      </c>
      <c r="J39">
        <f>_xlfn.XLOOKUP(A39,current!$A:$A,current!$B:$B,"no match")</f>
        <v>42.04</v>
      </c>
      <c r="K39">
        <f t="shared" si="1"/>
        <v>1027557.2162540868</v>
      </c>
      <c r="L39">
        <f t="shared" si="2"/>
        <v>43198505.371321812</v>
      </c>
      <c r="M39">
        <f t="shared" si="3"/>
        <v>2808366</v>
      </c>
      <c r="N39" t="str">
        <f t="shared" si="12"/>
        <v>SPY-2016-Q2</v>
      </c>
      <c r="O39">
        <f>_xlfn.XLOOKUP(N39,prices!$A:$A,prices!$F:$F,"no match")</f>
        <v>175.97</v>
      </c>
      <c r="P39">
        <f t="shared" si="4"/>
        <v>375063.93135193497</v>
      </c>
      <c r="Q39">
        <f>IF(P39="","",P39*assumptions!$B$4)</f>
        <v>288870489.28794682</v>
      </c>
      <c r="R39" s="10">
        <f t="shared" ca="1" si="5"/>
        <v>10.190280629705681</v>
      </c>
      <c r="S39">
        <f ca="1">IF(E39="","",E39*1000000*(1+assumptions!$B$3)^R39)</f>
        <v>97946799.019057766</v>
      </c>
      <c r="T39">
        <f t="shared" si="6"/>
        <v>1</v>
      </c>
      <c r="U39">
        <f t="shared" si="7"/>
        <v>31</v>
      </c>
      <c r="V39">
        <f t="shared" si="8"/>
        <v>70.903225806451616</v>
      </c>
      <c r="W39">
        <f t="shared" si="9"/>
        <v>1103895.7777744296</v>
      </c>
      <c r="X39">
        <f t="shared" si="10"/>
        <v>46407778.497637019</v>
      </c>
    </row>
    <row r="40" spans="1:24" x14ac:dyDescent="0.2">
      <c r="A40" t="s">
        <v>13</v>
      </c>
      <c r="B40">
        <v>2016</v>
      </c>
      <c r="C40" t="s">
        <v>10</v>
      </c>
      <c r="D40" s="1">
        <v>42643</v>
      </c>
      <c r="E40" s="14">
        <v>0</v>
      </c>
      <c r="F40" t="s">
        <v>8</v>
      </c>
      <c r="G40" t="str">
        <f t="shared" si="11"/>
        <v/>
      </c>
      <c r="H40" t="str">
        <f t="shared" si="0"/>
        <v>ALK-2016-Q3</v>
      </c>
      <c r="I40" s="3">
        <f>_xlfn.XLOOKUP(H40,prices!A:A,prices!F:F,"no match")</f>
        <v>61.44</v>
      </c>
      <c r="J40">
        <f>_xlfn.XLOOKUP(A40,current!$A:$A,current!$B:$B,"no match")</f>
        <v>42.04</v>
      </c>
      <c r="K40">
        <f t="shared" si="1"/>
        <v>0</v>
      </c>
      <c r="L40">
        <f t="shared" si="2"/>
        <v>0</v>
      </c>
      <c r="M40">
        <f t="shared" si="3"/>
        <v>0</v>
      </c>
      <c r="N40" t="str">
        <f t="shared" si="12"/>
        <v>SPY-2016-Q3</v>
      </c>
      <c r="O40">
        <f>_xlfn.XLOOKUP(N40,prices!$A:$A,prices!$F:$F,"no match")</f>
        <v>184.28</v>
      </c>
      <c r="P40">
        <f t="shared" si="4"/>
        <v>0</v>
      </c>
      <c r="Q40">
        <f>IF(P40="","",P40*assumptions!$B$4)</f>
        <v>0</v>
      </c>
      <c r="R40" s="10">
        <f t="shared" ca="1" si="5"/>
        <v>9.9383983572895271</v>
      </c>
      <c r="S40">
        <f ca="1">IF(E40="","",E40*1000000*(1+assumptions!$B$3)^R40)</f>
        <v>0</v>
      </c>
      <c r="T40">
        <f t="shared" si="6"/>
        <v>0</v>
      </c>
      <c r="U40">
        <f t="shared" si="7"/>
        <v>31</v>
      </c>
      <c r="V40">
        <f t="shared" si="8"/>
        <v>0</v>
      </c>
      <c r="W40">
        <f t="shared" si="9"/>
        <v>0</v>
      </c>
      <c r="X40">
        <f t="shared" si="10"/>
        <v>0</v>
      </c>
    </row>
    <row r="41" spans="1:24" x14ac:dyDescent="0.2">
      <c r="A41" t="s">
        <v>13</v>
      </c>
      <c r="B41">
        <v>2016</v>
      </c>
      <c r="C41" t="s">
        <v>11</v>
      </c>
      <c r="D41" s="1">
        <v>42735</v>
      </c>
      <c r="E41" s="14">
        <v>0</v>
      </c>
      <c r="F41" t="s">
        <v>8</v>
      </c>
      <c r="G41" t="str">
        <f t="shared" si="11"/>
        <v/>
      </c>
      <c r="H41" t="str">
        <f t="shared" si="0"/>
        <v>ALK-2016-Q4</v>
      </c>
      <c r="I41" s="3">
        <f>_xlfn.XLOOKUP(H41,prices!A:A,prices!F:F,"no match")</f>
        <v>73.89</v>
      </c>
      <c r="J41">
        <f>_xlfn.XLOOKUP(A41,current!$A:$A,current!$B:$B,"no match")</f>
        <v>42.04</v>
      </c>
      <c r="K41">
        <f t="shared" si="1"/>
        <v>0</v>
      </c>
      <c r="L41">
        <f t="shared" si="2"/>
        <v>0</v>
      </c>
      <c r="M41">
        <f t="shared" si="3"/>
        <v>0</v>
      </c>
      <c r="N41" t="str">
        <f t="shared" si="12"/>
        <v>SPY-2016-Q4</v>
      </c>
      <c r="O41">
        <f>_xlfn.XLOOKUP(N41,prices!$A:$A,prices!$F:$F,"no match")</f>
        <v>187.21</v>
      </c>
      <c r="P41">
        <f t="shared" si="4"/>
        <v>0</v>
      </c>
      <c r="Q41">
        <f>IF(P41="","",P41*assumptions!$B$4)</f>
        <v>0</v>
      </c>
      <c r="R41" s="10">
        <f t="shared" ca="1" si="5"/>
        <v>9.6865160848733751</v>
      </c>
      <c r="S41">
        <f ca="1">IF(E41="","",E41*1000000*(1+assumptions!$B$3)^R41)</f>
        <v>0</v>
      </c>
      <c r="T41">
        <f t="shared" si="6"/>
        <v>0</v>
      </c>
      <c r="U41">
        <f t="shared" si="7"/>
        <v>31</v>
      </c>
      <c r="V41">
        <f t="shared" si="8"/>
        <v>0</v>
      </c>
      <c r="W41">
        <f t="shared" si="9"/>
        <v>0</v>
      </c>
      <c r="X41">
        <f t="shared" si="10"/>
        <v>0</v>
      </c>
    </row>
    <row r="42" spans="1:24" hidden="1" x14ac:dyDescent="0.2">
      <c r="A42" t="s">
        <v>13</v>
      </c>
      <c r="B42">
        <v>2017</v>
      </c>
      <c r="C42" t="s">
        <v>7</v>
      </c>
      <c r="D42" s="1">
        <v>42825</v>
      </c>
      <c r="E42" s="14">
        <v>0</v>
      </c>
      <c r="F42" t="s">
        <v>8</v>
      </c>
      <c r="G42" t="str">
        <f t="shared" si="11"/>
        <v/>
      </c>
      <c r="H42" t="str">
        <f t="shared" si="0"/>
        <v>ALK-2017-Q1</v>
      </c>
      <c r="I42" s="3">
        <f>_xlfn.XLOOKUP(H42,prices!A:A,prices!F:F,"no match")</f>
        <v>89.03</v>
      </c>
      <c r="J42">
        <f>_xlfn.XLOOKUP(A42,current!$A:$A,current!$B:$B,"no match")</f>
        <v>42.04</v>
      </c>
      <c r="K42">
        <f t="shared" si="1"/>
        <v>0</v>
      </c>
      <c r="L42">
        <f t="shared" si="2"/>
        <v>0</v>
      </c>
      <c r="M42">
        <f t="shared" si="3"/>
        <v>0</v>
      </c>
      <c r="N42" t="str">
        <f t="shared" si="12"/>
        <v>SPY-2017-Q1</v>
      </c>
      <c r="O42">
        <f>_xlfn.XLOOKUP(N42,prices!$A:$A,prices!$F:$F,"no match")</f>
        <v>200.26</v>
      </c>
      <c r="P42">
        <f t="shared" si="4"/>
        <v>0</v>
      </c>
      <c r="Q42">
        <f>IF(P42="","",P42*assumptions!$B$4)</f>
        <v>0</v>
      </c>
      <c r="R42" s="10">
        <f t="shared" ca="1" si="5"/>
        <v>9.4401095140314855</v>
      </c>
      <c r="S42">
        <f ca="1">IF(E42="","",E42*1000000*(1+assumptions!$B$3)^R42)</f>
        <v>0</v>
      </c>
      <c r="T42">
        <f t="shared" si="6"/>
        <v>0</v>
      </c>
      <c r="U42">
        <f t="shared" si="7"/>
        <v>31</v>
      </c>
      <c r="V42">
        <f t="shared" si="8"/>
        <v>0</v>
      </c>
      <c r="W42">
        <f t="shared" si="9"/>
        <v>0</v>
      </c>
      <c r="X42">
        <f t="shared" si="10"/>
        <v>0</v>
      </c>
    </row>
    <row r="43" spans="1:24" hidden="1" x14ac:dyDescent="0.2">
      <c r="A43" t="s">
        <v>13</v>
      </c>
      <c r="B43">
        <v>2017</v>
      </c>
      <c r="C43" t="s">
        <v>9</v>
      </c>
      <c r="D43" s="1">
        <v>42916</v>
      </c>
      <c r="E43" s="14">
        <v>22</v>
      </c>
      <c r="F43" t="s">
        <v>8</v>
      </c>
      <c r="G43" t="str">
        <f t="shared" si="11"/>
        <v/>
      </c>
      <c r="H43" t="str">
        <f t="shared" si="0"/>
        <v>ALK-2017-Q2</v>
      </c>
      <c r="I43" s="3">
        <f>_xlfn.XLOOKUP(H43,prices!A:A,prices!F:F,"no match")</f>
        <v>82.77</v>
      </c>
      <c r="J43">
        <f>_xlfn.XLOOKUP(A43,current!$A:$A,current!$B:$B,"no match")</f>
        <v>42.04</v>
      </c>
      <c r="K43">
        <f t="shared" si="1"/>
        <v>265796.78627522051</v>
      </c>
      <c r="L43">
        <f t="shared" si="2"/>
        <v>11174096.89501027</v>
      </c>
      <c r="M43">
        <f t="shared" si="3"/>
        <v>944152</v>
      </c>
      <c r="N43" t="str">
        <f t="shared" si="12"/>
        <v>SPY-2017-Q2</v>
      </c>
      <c r="O43">
        <f>_xlfn.XLOOKUP(N43,prices!$A:$A,prices!$F:$F,"no match")</f>
        <v>207.45</v>
      </c>
      <c r="P43">
        <f t="shared" si="4"/>
        <v>106049.65051819716</v>
      </c>
      <c r="Q43">
        <f>IF(P43="","",P43*assumptions!$B$4)</f>
        <v>81678380.332610279</v>
      </c>
      <c r="R43" s="10">
        <f t="shared" ca="1" si="5"/>
        <v>9.1909650924024646</v>
      </c>
      <c r="S43">
        <f ca="1">IF(E43="","",E43*1000000*(1+assumptions!$B$3)^R43)</f>
        <v>31409137.793047007</v>
      </c>
      <c r="T43">
        <f t="shared" si="6"/>
        <v>1</v>
      </c>
      <c r="U43">
        <f t="shared" si="7"/>
        <v>31</v>
      </c>
      <c r="V43">
        <f t="shared" si="8"/>
        <v>70.903225806451616</v>
      </c>
      <c r="W43">
        <f t="shared" si="9"/>
        <v>856629.52526823268</v>
      </c>
      <c r="X43">
        <f t="shared" si="10"/>
        <v>36012705.242276505</v>
      </c>
    </row>
    <row r="44" spans="1:24" hidden="1" x14ac:dyDescent="0.2">
      <c r="A44" t="s">
        <v>13</v>
      </c>
      <c r="B44">
        <v>2017</v>
      </c>
      <c r="C44" t="s">
        <v>10</v>
      </c>
      <c r="D44" s="1">
        <v>43008</v>
      </c>
      <c r="E44" s="14">
        <v>28</v>
      </c>
      <c r="F44" t="s">
        <v>8</v>
      </c>
      <c r="G44" t="str">
        <f t="shared" si="11"/>
        <v/>
      </c>
      <c r="H44" t="str">
        <f t="shared" si="0"/>
        <v>ALK-2017-Q3</v>
      </c>
      <c r="I44" s="3">
        <f>_xlfn.XLOOKUP(H44,prices!A:A,prices!F:F,"no match")</f>
        <v>77.459999999999994</v>
      </c>
      <c r="J44">
        <f>_xlfn.XLOOKUP(A44,current!$A:$A,current!$B:$B,"no match")</f>
        <v>42.04</v>
      </c>
      <c r="K44">
        <f t="shared" si="1"/>
        <v>361476.89129873487</v>
      </c>
      <c r="L44">
        <f t="shared" si="2"/>
        <v>15196488.510198813</v>
      </c>
      <c r="M44">
        <f t="shared" si="3"/>
        <v>1204224</v>
      </c>
      <c r="N44" t="str">
        <f t="shared" si="12"/>
        <v>SPY-2017-Q3</v>
      </c>
      <c r="O44">
        <f>_xlfn.XLOOKUP(N44,prices!$A:$A,prices!$F:$F,"no match")</f>
        <v>214.46</v>
      </c>
      <c r="P44">
        <f t="shared" si="4"/>
        <v>130560.47747831763</v>
      </c>
      <c r="Q44">
        <f>IF(P44="","",P44*assumptions!$B$4)</f>
        <v>100556374.14902546</v>
      </c>
      <c r="R44" s="10">
        <f t="shared" ca="1" si="5"/>
        <v>8.9390828199863108</v>
      </c>
      <c r="S44">
        <f ca="1">IF(E44="","",E44*1000000*(1+assumptions!$B$3)^R44)</f>
        <v>39587089.561247557</v>
      </c>
      <c r="T44">
        <f t="shared" si="6"/>
        <v>1</v>
      </c>
      <c r="U44">
        <f t="shared" si="7"/>
        <v>31</v>
      </c>
      <c r="V44">
        <f t="shared" si="8"/>
        <v>70.903225806451616</v>
      </c>
      <c r="W44">
        <f t="shared" si="9"/>
        <v>915352.77312744153</v>
      </c>
      <c r="X44">
        <f t="shared" si="10"/>
        <v>38481430.582277641</v>
      </c>
    </row>
    <row r="45" spans="1:24" hidden="1" x14ac:dyDescent="0.2">
      <c r="A45" t="s">
        <v>13</v>
      </c>
      <c r="B45">
        <v>2017</v>
      </c>
      <c r="C45" t="s">
        <v>11</v>
      </c>
      <c r="D45" s="1">
        <v>43100</v>
      </c>
      <c r="E45" s="14">
        <v>25</v>
      </c>
      <c r="F45" t="s">
        <v>8</v>
      </c>
      <c r="G45" t="str">
        <f t="shared" si="11"/>
        <v/>
      </c>
      <c r="H45" t="str">
        <f t="shared" si="0"/>
        <v>ALK-2017-Q4</v>
      </c>
      <c r="I45" s="3">
        <f>_xlfn.XLOOKUP(H45,prices!A:A,prices!F:F,"no match")</f>
        <v>67.650000000000006</v>
      </c>
      <c r="J45">
        <f>_xlfn.XLOOKUP(A45,current!$A:$A,current!$B:$B,"no match")</f>
        <v>42.04</v>
      </c>
      <c r="K45">
        <f t="shared" si="1"/>
        <v>369549.1500369549</v>
      </c>
      <c r="L45">
        <f t="shared" si="2"/>
        <v>15535846.267553585</v>
      </c>
      <c r="M45">
        <f t="shared" si="3"/>
        <v>1077500</v>
      </c>
      <c r="N45" t="str">
        <f t="shared" si="12"/>
        <v>SPY-2017-Q4</v>
      </c>
      <c r="O45">
        <f>_xlfn.XLOOKUP(N45,prices!$A:$A,prices!$F:$F,"no match")</f>
        <v>227.33</v>
      </c>
      <c r="P45">
        <f t="shared" si="4"/>
        <v>109972.28698368011</v>
      </c>
      <c r="Q45">
        <f>IF(P45="","",P45*assumptions!$B$4)</f>
        <v>84699555.711960584</v>
      </c>
      <c r="R45" s="10">
        <f t="shared" ca="1" si="5"/>
        <v>8.687200547570157</v>
      </c>
      <c r="S45">
        <f ca="1">IF(E45="","",E45*1000000*(1+assumptions!$B$3)^R45)</f>
        <v>35002394.821747258</v>
      </c>
      <c r="T45">
        <f t="shared" si="6"/>
        <v>1</v>
      </c>
      <c r="U45">
        <f t="shared" si="7"/>
        <v>31</v>
      </c>
      <c r="V45">
        <f t="shared" si="8"/>
        <v>70.903225806451616</v>
      </c>
      <c r="W45">
        <f t="shared" si="9"/>
        <v>1048089.0732660992</v>
      </c>
      <c r="X45">
        <f t="shared" si="10"/>
        <v>44061664.640106812</v>
      </c>
    </row>
    <row r="46" spans="1:24" x14ac:dyDescent="0.2">
      <c r="A46" t="s">
        <v>13</v>
      </c>
      <c r="B46">
        <v>2018</v>
      </c>
      <c r="C46" t="s">
        <v>7</v>
      </c>
      <c r="D46" s="1">
        <v>43190</v>
      </c>
      <c r="E46" s="14">
        <v>13</v>
      </c>
      <c r="F46" t="s">
        <v>8</v>
      </c>
      <c r="G46" t="str">
        <f t="shared" si="11"/>
        <v/>
      </c>
      <c r="H46" t="str">
        <f t="shared" si="0"/>
        <v>ALK-2018-Q1</v>
      </c>
      <c r="I46" s="3">
        <f>_xlfn.XLOOKUP(H46,prices!A:A,prices!F:F,"no match")</f>
        <v>63.43</v>
      </c>
      <c r="J46">
        <f>_xlfn.XLOOKUP(A46,current!$A:$A,current!$B:$B,"no match")</f>
        <v>42.04</v>
      </c>
      <c r="K46">
        <f t="shared" si="1"/>
        <v>204950.33895632983</v>
      </c>
      <c r="L46">
        <f t="shared" si="2"/>
        <v>8616112.249724105</v>
      </c>
      <c r="M46">
        <f t="shared" si="3"/>
        <v>561470</v>
      </c>
      <c r="N46" t="str">
        <f t="shared" si="12"/>
        <v>SPY-2018-Q1</v>
      </c>
      <c r="O46">
        <f>_xlfn.XLOOKUP(N46,prices!$A:$A,prices!$F:$F,"no match")</f>
        <v>239.76</v>
      </c>
      <c r="P46">
        <f t="shared" si="4"/>
        <v>54220.887554220892</v>
      </c>
      <c r="Q46">
        <f>IF(P46="","",P46*assumptions!$B$4)</f>
        <v>41760385.385385394</v>
      </c>
      <c r="R46" s="10">
        <f t="shared" ca="1" si="5"/>
        <v>8.4407939767282691</v>
      </c>
      <c r="S46">
        <f ca="1">IF(E46="","",E46*1000000*(1+assumptions!$B$3)^R46)</f>
        <v>18028327.430064507</v>
      </c>
      <c r="T46">
        <f t="shared" si="6"/>
        <v>1</v>
      </c>
      <c r="U46">
        <f t="shared" si="7"/>
        <v>31</v>
      </c>
      <c r="V46">
        <f t="shared" si="8"/>
        <v>70.903225806451616</v>
      </c>
      <c r="W46">
        <f t="shared" si="9"/>
        <v>1117818.4740099576</v>
      </c>
      <c r="X46">
        <f t="shared" si="10"/>
        <v>46993088.647378616</v>
      </c>
    </row>
    <row r="47" spans="1:24" x14ac:dyDescent="0.2">
      <c r="A47" t="s">
        <v>13</v>
      </c>
      <c r="B47">
        <v>2018</v>
      </c>
      <c r="C47" t="s">
        <v>9</v>
      </c>
      <c r="D47" s="1">
        <v>43281</v>
      </c>
      <c r="E47" s="14">
        <v>12</v>
      </c>
      <c r="F47" t="s">
        <v>8</v>
      </c>
      <c r="G47" t="str">
        <f t="shared" si="11"/>
        <v/>
      </c>
      <c r="H47" t="str">
        <f t="shared" si="0"/>
        <v>ALK-2018-Q2</v>
      </c>
      <c r="I47" s="3">
        <f>_xlfn.XLOOKUP(H47,prices!A:A,prices!F:F,"no match")</f>
        <v>59.49</v>
      </c>
      <c r="J47">
        <f>_xlfn.XLOOKUP(A47,current!$A:$A,current!$B:$B,"no match")</f>
        <v>42.04</v>
      </c>
      <c r="K47">
        <f t="shared" si="1"/>
        <v>201714.57387796268</v>
      </c>
      <c r="L47">
        <f t="shared" si="2"/>
        <v>8480080.6858295519</v>
      </c>
      <c r="M47">
        <f t="shared" si="3"/>
        <v>519372</v>
      </c>
      <c r="N47" t="str">
        <f t="shared" si="12"/>
        <v>SPY-2018-Q2</v>
      </c>
      <c r="O47">
        <f>_xlfn.XLOOKUP(N47,prices!$A:$A,prices!$F:$F,"no match")</f>
        <v>238.21</v>
      </c>
      <c r="P47">
        <f t="shared" si="4"/>
        <v>50375.718903488516</v>
      </c>
      <c r="Q47">
        <f>IF(P47="","",P47*assumptions!$B$4)</f>
        <v>38798874.942277826</v>
      </c>
      <c r="R47" s="10">
        <f t="shared" ca="1" si="5"/>
        <v>8.1916495550992465</v>
      </c>
      <c r="S47">
        <f ca="1">IF(E47="","",E47*1000000*(1+assumptions!$B$3)^R47)</f>
        <v>16481684.716128306</v>
      </c>
      <c r="T47">
        <f t="shared" si="6"/>
        <v>1</v>
      </c>
      <c r="U47">
        <f t="shared" si="7"/>
        <v>31</v>
      </c>
      <c r="V47">
        <f t="shared" si="8"/>
        <v>70.903225806451616</v>
      </c>
      <c r="W47">
        <f t="shared" si="9"/>
        <v>1191851.1650101128</v>
      </c>
      <c r="X47">
        <f t="shared" si="10"/>
        <v>50105422.977025144</v>
      </c>
    </row>
    <row r="48" spans="1:24" x14ac:dyDescent="0.2">
      <c r="A48" t="s">
        <v>13</v>
      </c>
      <c r="B48">
        <v>2018</v>
      </c>
      <c r="C48" t="s">
        <v>10</v>
      </c>
      <c r="D48" s="1">
        <v>43373</v>
      </c>
      <c r="E48" s="14">
        <v>12</v>
      </c>
      <c r="F48" t="s">
        <v>8</v>
      </c>
      <c r="G48" t="str">
        <f t="shared" si="11"/>
        <v/>
      </c>
      <c r="H48" t="str">
        <f t="shared" si="0"/>
        <v>ALK-2018-Q3</v>
      </c>
      <c r="I48" s="3">
        <f>_xlfn.XLOOKUP(H48,prices!A:A,prices!F:F,"no match")</f>
        <v>62.6</v>
      </c>
      <c r="J48">
        <f>_xlfn.XLOOKUP(A48,current!$A:$A,current!$B:$B,"no match")</f>
        <v>42.04</v>
      </c>
      <c r="K48">
        <f t="shared" si="1"/>
        <v>191693.29073482429</v>
      </c>
      <c r="L48">
        <f t="shared" si="2"/>
        <v>8058785.9424920129</v>
      </c>
      <c r="M48">
        <f t="shared" si="3"/>
        <v>520476</v>
      </c>
      <c r="N48" t="str">
        <f t="shared" si="12"/>
        <v>SPY-2018-Q3</v>
      </c>
      <c r="O48">
        <f>_xlfn.XLOOKUP(N48,prices!$A:$A,prices!$F:$F,"no match")</f>
        <v>252.23</v>
      </c>
      <c r="P48">
        <f t="shared" si="4"/>
        <v>47575.625421242519</v>
      </c>
      <c r="Q48">
        <f>IF(P48="","",P48*assumptions!$B$4)</f>
        <v>36642270.943186775</v>
      </c>
      <c r="R48" s="10">
        <f t="shared" ca="1" si="5"/>
        <v>7.9397672826830936</v>
      </c>
      <c r="S48">
        <f ca="1">IF(E48="","",E48*1000000*(1+assumptions!$B$3)^R48)</f>
        <v>16321640.595810847</v>
      </c>
      <c r="T48">
        <f t="shared" si="6"/>
        <v>1</v>
      </c>
      <c r="U48">
        <f t="shared" si="7"/>
        <v>31</v>
      </c>
      <c r="V48">
        <f t="shared" si="8"/>
        <v>70.903225806451616</v>
      </c>
      <c r="W48">
        <f t="shared" si="9"/>
        <v>1132639.3898794188</v>
      </c>
      <c r="X48">
        <f t="shared" si="10"/>
        <v>47616159.950530767</v>
      </c>
    </row>
    <row r="49" spans="1:24" x14ac:dyDescent="0.2">
      <c r="A49" t="s">
        <v>13</v>
      </c>
      <c r="B49">
        <v>2018</v>
      </c>
      <c r="C49" t="s">
        <v>11</v>
      </c>
      <c r="D49" s="1">
        <v>43465</v>
      </c>
      <c r="E49" s="14">
        <v>13</v>
      </c>
      <c r="F49" t="s">
        <v>8</v>
      </c>
      <c r="G49" t="str">
        <f t="shared" si="11"/>
        <v/>
      </c>
      <c r="H49" t="str">
        <f t="shared" si="0"/>
        <v>ALK-2018-Q4</v>
      </c>
      <c r="I49" s="3">
        <f>_xlfn.XLOOKUP(H49,prices!A:A,prices!F:F,"no match")</f>
        <v>62.77</v>
      </c>
      <c r="J49">
        <f>_xlfn.XLOOKUP(A49,current!$A:$A,current!$B:$B,"no match")</f>
        <v>42.04</v>
      </c>
      <c r="K49">
        <f t="shared" si="1"/>
        <v>207105.30508204555</v>
      </c>
      <c r="L49">
        <f t="shared" si="2"/>
        <v>8706707.0256491955</v>
      </c>
      <c r="M49">
        <f t="shared" si="3"/>
        <v>565045</v>
      </c>
      <c r="N49" t="str">
        <f t="shared" si="12"/>
        <v>SPY-2018-Q4</v>
      </c>
      <c r="O49">
        <f>_xlfn.XLOOKUP(N49,prices!$A:$A,prices!$F:$F,"no match")</f>
        <v>239.95</v>
      </c>
      <c r="P49">
        <f t="shared" si="4"/>
        <v>54177.95374036258</v>
      </c>
      <c r="Q49">
        <f>IF(P49="","",P49*assumptions!$B$4)</f>
        <v>41727318.191289857</v>
      </c>
      <c r="R49" s="10">
        <f t="shared" ca="1" si="5"/>
        <v>7.6878850102669407</v>
      </c>
      <c r="S49">
        <f ca="1">IF(E49="","",E49*1000000*(1+assumptions!$B$3)^R49)</f>
        <v>17510079.785794865</v>
      </c>
      <c r="T49">
        <f t="shared" si="6"/>
        <v>1</v>
      </c>
      <c r="U49">
        <f t="shared" si="7"/>
        <v>31</v>
      </c>
      <c r="V49">
        <f t="shared" si="8"/>
        <v>70.903225806451616</v>
      </c>
      <c r="W49">
        <f t="shared" si="9"/>
        <v>1129571.8624574097</v>
      </c>
      <c r="X49">
        <f t="shared" si="10"/>
        <v>47487201.097709507</v>
      </c>
    </row>
    <row r="50" spans="1:24" x14ac:dyDescent="0.2">
      <c r="A50" t="s">
        <v>13</v>
      </c>
      <c r="B50">
        <v>2019</v>
      </c>
      <c r="C50" t="s">
        <v>7</v>
      </c>
      <c r="D50" s="1">
        <v>43555</v>
      </c>
      <c r="E50" s="14">
        <v>13</v>
      </c>
      <c r="F50" t="s">
        <v>8</v>
      </c>
      <c r="G50" t="str">
        <f t="shared" si="11"/>
        <v/>
      </c>
      <c r="H50" t="str">
        <f t="shared" si="0"/>
        <v>ALK-2019-Q1</v>
      </c>
      <c r="I50" s="3">
        <f>_xlfn.XLOOKUP(H50,prices!A:A,prices!F:F,"no match")</f>
        <v>59.56</v>
      </c>
      <c r="J50">
        <f>_xlfn.XLOOKUP(A50,current!$A:$A,current!$B:$B,"no match")</f>
        <v>42.04</v>
      </c>
      <c r="K50">
        <f t="shared" si="1"/>
        <v>218267.29348556077</v>
      </c>
      <c r="L50">
        <f t="shared" si="2"/>
        <v>9175957.0181329753</v>
      </c>
      <c r="M50">
        <f t="shared" si="3"/>
        <v>566215</v>
      </c>
      <c r="N50" t="str">
        <f t="shared" si="12"/>
        <v>SPY-2019-Q1</v>
      </c>
      <c r="O50">
        <f>_xlfn.XLOOKUP(N50,prices!$A:$A,prices!$F:$F,"no match")</f>
        <v>243.24</v>
      </c>
      <c r="P50">
        <f t="shared" si="4"/>
        <v>53445.157046538399</v>
      </c>
      <c r="Q50">
        <f>IF(P50="","",P50*assumptions!$B$4)</f>
        <v>41162925.505673416</v>
      </c>
      <c r="R50" s="10">
        <f t="shared" ca="1" si="5"/>
        <v>7.4414784394250511</v>
      </c>
      <c r="S50">
        <f ca="1">IF(E50="","",E50*1000000*(1+assumptions!$B$3)^R50)</f>
        <v>17343728.210624449</v>
      </c>
      <c r="T50">
        <f t="shared" si="6"/>
        <v>1</v>
      </c>
      <c r="U50">
        <f t="shared" si="7"/>
        <v>31</v>
      </c>
      <c r="V50">
        <f t="shared" si="8"/>
        <v>70.903225806451616</v>
      </c>
      <c r="W50">
        <f t="shared" si="9"/>
        <v>1190450.3997053662</v>
      </c>
      <c r="X50">
        <f t="shared" si="10"/>
        <v>50046534.803613596</v>
      </c>
    </row>
    <row r="51" spans="1:24" x14ac:dyDescent="0.2">
      <c r="A51" t="s">
        <v>13</v>
      </c>
      <c r="B51">
        <v>2019</v>
      </c>
      <c r="C51" t="s">
        <v>9</v>
      </c>
      <c r="D51" s="1">
        <v>43646</v>
      </c>
      <c r="E51" s="14">
        <v>12</v>
      </c>
      <c r="F51" t="s">
        <v>8</v>
      </c>
      <c r="G51" t="str">
        <f t="shared" si="11"/>
        <v/>
      </c>
      <c r="H51" t="str">
        <f t="shared" si="0"/>
        <v>ALK-2019-Q2</v>
      </c>
      <c r="I51" s="3">
        <f>_xlfn.XLOOKUP(H51,prices!A:A,prices!F:F,"no match")</f>
        <v>59.66</v>
      </c>
      <c r="J51">
        <f>_xlfn.XLOOKUP(A51,current!$A:$A,current!$B:$B,"no match")</f>
        <v>42.04</v>
      </c>
      <c r="K51">
        <f t="shared" si="1"/>
        <v>201139.79215554812</v>
      </c>
      <c r="L51">
        <f t="shared" si="2"/>
        <v>8455916.8622192424</v>
      </c>
      <c r="M51">
        <f t="shared" si="3"/>
        <v>523752</v>
      </c>
      <c r="N51" t="str">
        <f t="shared" si="12"/>
        <v>SPY-2019-Q2</v>
      </c>
      <c r="O51">
        <f>_xlfn.XLOOKUP(N51,prices!$A:$A,prices!$F:$F,"no match")</f>
        <v>258.86</v>
      </c>
      <c r="P51">
        <f t="shared" si="4"/>
        <v>46357.104226222669</v>
      </c>
      <c r="Q51">
        <f>IF(P51="","",P51*assumptions!$B$4)</f>
        <v>35703778.103994437</v>
      </c>
      <c r="R51" s="10">
        <f t="shared" ca="1" si="5"/>
        <v>7.1923340177960302</v>
      </c>
      <c r="S51">
        <f ca="1">IF(E51="","",E51*1000000*(1+assumptions!$B$3)^R51)</f>
        <v>15855816.979063462</v>
      </c>
      <c r="T51">
        <f t="shared" si="6"/>
        <v>1</v>
      </c>
      <c r="U51">
        <f t="shared" si="7"/>
        <v>31</v>
      </c>
      <c r="V51">
        <f t="shared" si="8"/>
        <v>70.903225806451616</v>
      </c>
      <c r="W51">
        <f t="shared" si="9"/>
        <v>1188455.0084889645</v>
      </c>
      <c r="X51">
        <f t="shared" si="10"/>
        <v>49962648.556876071</v>
      </c>
    </row>
    <row r="52" spans="1:24" x14ac:dyDescent="0.2">
      <c r="A52" t="s">
        <v>13</v>
      </c>
      <c r="B52">
        <v>2019</v>
      </c>
      <c r="C52" t="s">
        <v>10</v>
      </c>
      <c r="D52" s="1">
        <v>43738</v>
      </c>
      <c r="E52" s="14">
        <v>727</v>
      </c>
      <c r="F52" t="s">
        <v>8</v>
      </c>
      <c r="G52" t="str">
        <f t="shared" si="11"/>
        <v/>
      </c>
      <c r="H52" t="str">
        <f t="shared" si="0"/>
        <v>ALK-2019-Q3</v>
      </c>
      <c r="I52" s="3">
        <f>_xlfn.XLOOKUP(H52,prices!A:A,prices!F:F,"no match")</f>
        <v>62.15</v>
      </c>
      <c r="J52">
        <f>_xlfn.XLOOKUP(A52,current!$A:$A,current!$B:$B,"no match")</f>
        <v>42.04</v>
      </c>
      <c r="K52">
        <f t="shared" si="1"/>
        <v>11697506.033789219</v>
      </c>
      <c r="L52">
        <f t="shared" si="2"/>
        <v>491763153.6604988</v>
      </c>
      <c r="M52">
        <f t="shared" si="3"/>
        <v>31797526</v>
      </c>
      <c r="N52" t="str">
        <f t="shared" si="12"/>
        <v>SPY-2019-Q3</v>
      </c>
      <c r="O52">
        <f>_xlfn.XLOOKUP(N52,prices!$A:$A,prices!$F:$F,"no match")</f>
        <v>266.92</v>
      </c>
      <c r="P52">
        <f t="shared" si="4"/>
        <v>2723662.5206054249</v>
      </c>
      <c r="Q52">
        <f>IF(P52="","",P52*assumptions!$B$4)</f>
        <v>2097737636.7450924</v>
      </c>
      <c r="R52" s="10">
        <f t="shared" ca="1" si="5"/>
        <v>6.9404517453798764</v>
      </c>
      <c r="S52">
        <f ca="1">IF(E52="","",E52*1000000*(1+assumptions!$B$3)^R52)</f>
        <v>951270430.60436761</v>
      </c>
      <c r="T52">
        <f t="shared" si="6"/>
        <v>1</v>
      </c>
      <c r="U52">
        <f t="shared" si="7"/>
        <v>31</v>
      </c>
      <c r="V52">
        <f t="shared" si="8"/>
        <v>70.903225806451616</v>
      </c>
      <c r="W52">
        <f t="shared" si="9"/>
        <v>1140840.3186878781</v>
      </c>
      <c r="X52">
        <f t="shared" si="10"/>
        <v>47960926.997638397</v>
      </c>
    </row>
    <row r="53" spans="1:24" x14ac:dyDescent="0.2">
      <c r="A53" t="s">
        <v>13</v>
      </c>
      <c r="B53">
        <v>2019</v>
      </c>
      <c r="C53" t="s">
        <v>11</v>
      </c>
      <c r="D53" s="1">
        <v>43830</v>
      </c>
      <c r="E53" s="14">
        <v>-677</v>
      </c>
      <c r="F53" t="s">
        <v>8</v>
      </c>
      <c r="G53" t="str">
        <f t="shared" si="11"/>
        <v/>
      </c>
      <c r="H53" t="str">
        <f t="shared" si="0"/>
        <v>ALK-2019-Q4</v>
      </c>
      <c r="I53" s="3">
        <f>_xlfn.XLOOKUP(H53,prices!A:A,prices!F:F,"no match")</f>
        <v>67.73</v>
      </c>
      <c r="J53">
        <f>_xlfn.XLOOKUP(A53,current!$A:$A,current!$B:$B,"no match")</f>
        <v>42.04</v>
      </c>
      <c r="K53">
        <f t="shared" si="1"/>
        <v>-9995570.6481618192</v>
      </c>
      <c r="L53">
        <f t="shared" si="2"/>
        <v>-420213790.04872286</v>
      </c>
      <c r="M53">
        <f t="shared" si="3"/>
        <v>-29672910</v>
      </c>
      <c r="N53" t="str">
        <f t="shared" si="12"/>
        <v>SPY-2019-Q4</v>
      </c>
      <c r="O53">
        <f>_xlfn.XLOOKUP(N53,prices!$A:$A,prices!$F:$F,"no match")</f>
        <v>279.45999999999998</v>
      </c>
      <c r="P53">
        <f t="shared" si="4"/>
        <v>-2422529.1633865312</v>
      </c>
      <c r="Q53">
        <f>IF(P53="","",P53*assumptions!$B$4)</f>
        <v>-1865807736.3486726</v>
      </c>
      <c r="R53" s="10">
        <f t="shared" ca="1" si="5"/>
        <v>6.6885694729637235</v>
      </c>
      <c r="S53">
        <f ca="1">IF(E53="","",E53*1000000*(1+assumptions!$B$3)^R53)</f>
        <v>-877244114.9975363</v>
      </c>
      <c r="T53">
        <f t="shared" si="6"/>
        <v>0</v>
      </c>
      <c r="U53">
        <f t="shared" si="7"/>
        <v>31</v>
      </c>
      <c r="V53">
        <f t="shared" si="8"/>
        <v>0</v>
      </c>
      <c r="W53">
        <f t="shared" si="9"/>
        <v>0</v>
      </c>
      <c r="X53">
        <f t="shared" si="10"/>
        <v>0</v>
      </c>
    </row>
    <row r="54" spans="1:24" x14ac:dyDescent="0.2">
      <c r="A54" t="s">
        <v>13</v>
      </c>
      <c r="B54">
        <v>2020</v>
      </c>
      <c r="C54" t="s">
        <v>7</v>
      </c>
      <c r="D54" s="1">
        <v>43921</v>
      </c>
      <c r="E54" s="14">
        <v>31</v>
      </c>
      <c r="F54" t="s">
        <v>8</v>
      </c>
      <c r="G54" t="str">
        <f t="shared" si="11"/>
        <v/>
      </c>
      <c r="H54" t="str">
        <f t="shared" si="0"/>
        <v>ALK-2020-Q1</v>
      </c>
      <c r="I54" s="3">
        <f>_xlfn.XLOOKUP(H54,prices!A:A,prices!F:F,"no match")</f>
        <v>54.2</v>
      </c>
      <c r="J54">
        <f>_xlfn.XLOOKUP(A54,current!$A:$A,current!$B:$B,"no match")</f>
        <v>42.04</v>
      </c>
      <c r="K54">
        <f t="shared" si="1"/>
        <v>571955.71955719555</v>
      </c>
      <c r="L54">
        <f t="shared" si="2"/>
        <v>24045018.450184502</v>
      </c>
      <c r="M54">
        <f t="shared" si="3"/>
        <v>1361551</v>
      </c>
      <c r="N54" t="str">
        <f t="shared" si="12"/>
        <v>SPY-2020-Q1</v>
      </c>
      <c r="O54">
        <f>_xlfn.XLOOKUP(N54,prices!$A:$A,prices!$F:$F,"no match")</f>
        <v>278.20999999999998</v>
      </c>
      <c r="P54">
        <f t="shared" si="4"/>
        <v>111426.62017900147</v>
      </c>
      <c r="Q54">
        <f>IF(P54="","",P54*assumptions!$B$4)</f>
        <v>85819668.595665157</v>
      </c>
      <c r="R54" s="10">
        <f t="shared" ca="1" si="5"/>
        <v>6.4394250513347027</v>
      </c>
      <c r="S54">
        <f ca="1">IF(E54="","",E54*1000000*(1+assumptions!$B$3)^R54)</f>
        <v>39783387.49083665</v>
      </c>
      <c r="T54">
        <f t="shared" si="6"/>
        <v>1</v>
      </c>
      <c r="U54">
        <f t="shared" si="7"/>
        <v>31</v>
      </c>
      <c r="V54">
        <f t="shared" si="8"/>
        <v>70.903225806451616</v>
      </c>
      <c r="W54">
        <f t="shared" si="9"/>
        <v>1308177.5979050114</v>
      </c>
      <c r="X54">
        <f t="shared" si="10"/>
        <v>54995786.215926677</v>
      </c>
    </row>
    <row r="55" spans="1:24" x14ac:dyDescent="0.2">
      <c r="A55" t="s">
        <v>13</v>
      </c>
      <c r="B55">
        <v>2020</v>
      </c>
      <c r="C55" t="s">
        <v>9</v>
      </c>
      <c r="D55" s="1">
        <v>44012</v>
      </c>
      <c r="E55" s="14">
        <v>0</v>
      </c>
      <c r="F55" t="s">
        <v>8</v>
      </c>
      <c r="G55" t="str">
        <f t="shared" si="11"/>
        <v/>
      </c>
      <c r="H55" t="str">
        <f t="shared" si="0"/>
        <v>ALK-2020-Q2</v>
      </c>
      <c r="I55" s="3">
        <f>_xlfn.XLOOKUP(H55,prices!A:A,prices!F:F,"no match")</f>
        <v>32.56</v>
      </c>
      <c r="J55">
        <f>_xlfn.XLOOKUP(A55,current!$A:$A,current!$B:$B,"no match")</f>
        <v>42.04</v>
      </c>
      <c r="K55">
        <f t="shared" si="1"/>
        <v>0</v>
      </c>
      <c r="L55">
        <f t="shared" si="2"/>
        <v>0</v>
      </c>
      <c r="M55">
        <f t="shared" si="3"/>
        <v>0</v>
      </c>
      <c r="N55" t="str">
        <f t="shared" si="12"/>
        <v>SPY-2020-Q2</v>
      </c>
      <c r="O55">
        <f>_xlfn.XLOOKUP(N55,prices!$A:$A,prices!$F:$F,"no match")</f>
        <v>268.52999999999997</v>
      </c>
      <c r="P55">
        <f t="shared" si="4"/>
        <v>0</v>
      </c>
      <c r="Q55">
        <f>IF(P55="","",P55*assumptions!$B$4)</f>
        <v>0</v>
      </c>
      <c r="R55" s="10">
        <f t="shared" ca="1" si="5"/>
        <v>6.1902806297056809</v>
      </c>
      <c r="S55">
        <f ca="1">IF(E55="","",E55*1000000*(1+assumptions!$B$3)^R55)</f>
        <v>0</v>
      </c>
      <c r="T55">
        <f t="shared" si="6"/>
        <v>0</v>
      </c>
      <c r="U55">
        <f t="shared" si="7"/>
        <v>31</v>
      </c>
      <c r="V55">
        <f t="shared" si="8"/>
        <v>0</v>
      </c>
      <c r="W55">
        <f t="shared" si="9"/>
        <v>0</v>
      </c>
      <c r="X55">
        <f t="shared" si="10"/>
        <v>0</v>
      </c>
    </row>
    <row r="56" spans="1:24" x14ac:dyDescent="0.2">
      <c r="A56" t="s">
        <v>13</v>
      </c>
      <c r="B56">
        <v>2020</v>
      </c>
      <c r="C56" t="s">
        <v>10</v>
      </c>
      <c r="D56" s="1">
        <v>44104</v>
      </c>
      <c r="E56" s="14">
        <v>0</v>
      </c>
      <c r="F56" t="s">
        <v>8</v>
      </c>
      <c r="G56" t="str">
        <f t="shared" si="11"/>
        <v/>
      </c>
      <c r="H56" t="str">
        <f t="shared" si="0"/>
        <v>ALK-2020-Q3</v>
      </c>
      <c r="I56" s="3">
        <f>_xlfn.XLOOKUP(H56,prices!A:A,prices!F:F,"no match")</f>
        <v>37.46</v>
      </c>
      <c r="J56">
        <f>_xlfn.XLOOKUP(A56,current!$A:$A,current!$B:$B,"no match")</f>
        <v>42.04</v>
      </c>
      <c r="K56">
        <f t="shared" si="1"/>
        <v>0</v>
      </c>
      <c r="L56">
        <f t="shared" si="2"/>
        <v>0</v>
      </c>
      <c r="M56">
        <f t="shared" si="3"/>
        <v>0</v>
      </c>
      <c r="N56" t="str">
        <f t="shared" si="12"/>
        <v>SPY-2020-Q3</v>
      </c>
      <c r="O56">
        <f>_xlfn.XLOOKUP(N56,prices!$A:$A,prices!$F:$F,"no match")</f>
        <v>305.37</v>
      </c>
      <c r="P56">
        <f t="shared" si="4"/>
        <v>0</v>
      </c>
      <c r="Q56">
        <f>IF(P56="","",P56*assumptions!$B$4)</f>
        <v>0</v>
      </c>
      <c r="R56" s="10">
        <f t="shared" ca="1" si="5"/>
        <v>5.938398357289528</v>
      </c>
      <c r="S56">
        <f ca="1">IF(E56="","",E56*1000000*(1+assumptions!$B$3)^R56)</f>
        <v>0</v>
      </c>
      <c r="T56">
        <f t="shared" si="6"/>
        <v>0</v>
      </c>
      <c r="U56">
        <f t="shared" si="7"/>
        <v>31</v>
      </c>
      <c r="V56">
        <f t="shared" si="8"/>
        <v>0</v>
      </c>
      <c r="W56">
        <f t="shared" si="9"/>
        <v>0</v>
      </c>
      <c r="X56">
        <f t="shared" si="10"/>
        <v>0</v>
      </c>
    </row>
    <row r="57" spans="1:24" x14ac:dyDescent="0.2">
      <c r="A57" t="s">
        <v>13</v>
      </c>
      <c r="B57">
        <v>2020</v>
      </c>
      <c r="C57" t="s">
        <v>11</v>
      </c>
      <c r="D57" s="1">
        <v>44196</v>
      </c>
      <c r="E57" s="14">
        <v>0</v>
      </c>
      <c r="F57" t="s">
        <v>8</v>
      </c>
      <c r="G57" t="str">
        <f t="shared" si="11"/>
        <v/>
      </c>
      <c r="H57" t="str">
        <f t="shared" si="0"/>
        <v>ALK-2020-Q4</v>
      </c>
      <c r="I57" s="3">
        <f>_xlfn.XLOOKUP(H57,prices!A:A,prices!F:F,"no match")</f>
        <v>44.98</v>
      </c>
      <c r="J57">
        <f>_xlfn.XLOOKUP(A57,current!$A:$A,current!$B:$B,"no match")</f>
        <v>42.04</v>
      </c>
      <c r="K57">
        <f t="shared" si="1"/>
        <v>0</v>
      </c>
      <c r="L57">
        <f t="shared" si="2"/>
        <v>0</v>
      </c>
      <c r="M57">
        <f t="shared" si="3"/>
        <v>0</v>
      </c>
      <c r="N57" t="str">
        <f t="shared" si="12"/>
        <v>SPY-2020-Q4</v>
      </c>
      <c r="O57">
        <f>_xlfn.XLOOKUP(N57,prices!$A:$A,prices!$F:$F,"no match")</f>
        <v>328.23</v>
      </c>
      <c r="P57">
        <f t="shared" si="4"/>
        <v>0</v>
      </c>
      <c r="Q57">
        <f>IF(P57="","",P57*assumptions!$B$4)</f>
        <v>0</v>
      </c>
      <c r="R57" s="10">
        <f t="shared" ca="1" si="5"/>
        <v>5.6865160848733742</v>
      </c>
      <c r="S57">
        <f ca="1">IF(E57="","",E57*1000000*(1+assumptions!$B$3)^R57)</f>
        <v>0</v>
      </c>
      <c r="T57">
        <f t="shared" si="6"/>
        <v>0</v>
      </c>
      <c r="U57">
        <f t="shared" si="7"/>
        <v>31</v>
      </c>
      <c r="V57">
        <f t="shared" si="8"/>
        <v>0</v>
      </c>
      <c r="W57">
        <f t="shared" si="9"/>
        <v>0</v>
      </c>
      <c r="X57">
        <f t="shared" si="10"/>
        <v>0</v>
      </c>
    </row>
    <row r="58" spans="1:24" x14ac:dyDescent="0.2">
      <c r="A58" t="s">
        <v>13</v>
      </c>
      <c r="B58">
        <v>2021</v>
      </c>
      <c r="C58" t="s">
        <v>7</v>
      </c>
      <c r="D58" s="1">
        <v>44286</v>
      </c>
      <c r="E58" s="14">
        <v>0</v>
      </c>
      <c r="F58" t="s">
        <v>8</v>
      </c>
      <c r="G58" t="str">
        <f t="shared" si="11"/>
        <v/>
      </c>
      <c r="H58" t="str">
        <f t="shared" si="0"/>
        <v>ALK-2021-Q1</v>
      </c>
      <c r="I58" s="3">
        <f>_xlfn.XLOOKUP(H58,prices!A:A,prices!F:F,"no match")</f>
        <v>60.1</v>
      </c>
      <c r="J58">
        <f>_xlfn.XLOOKUP(A58,current!$A:$A,current!$B:$B,"no match")</f>
        <v>42.04</v>
      </c>
      <c r="K58">
        <f t="shared" si="1"/>
        <v>0</v>
      </c>
      <c r="L58">
        <f t="shared" si="2"/>
        <v>0</v>
      </c>
      <c r="M58">
        <f t="shared" si="3"/>
        <v>0</v>
      </c>
      <c r="N58" t="str">
        <f t="shared" si="12"/>
        <v>SPY-2021-Q1</v>
      </c>
      <c r="O58">
        <f>_xlfn.XLOOKUP(N58,prices!$A:$A,prices!$F:$F,"no match")</f>
        <v>358.26</v>
      </c>
      <c r="P58">
        <f t="shared" si="4"/>
        <v>0</v>
      </c>
      <c r="Q58">
        <f>IF(P58="","",P58*assumptions!$B$4)</f>
        <v>0</v>
      </c>
      <c r="R58" s="10">
        <f t="shared" ca="1" si="5"/>
        <v>5.4401095140314855</v>
      </c>
      <c r="S58">
        <f ca="1">IF(E58="","",E58*1000000*(1+assumptions!$B$3)^R58)</f>
        <v>0</v>
      </c>
      <c r="T58">
        <f t="shared" si="6"/>
        <v>0</v>
      </c>
      <c r="U58">
        <f t="shared" si="7"/>
        <v>31</v>
      </c>
      <c r="V58">
        <f t="shared" si="8"/>
        <v>0</v>
      </c>
      <c r="W58">
        <f t="shared" si="9"/>
        <v>0</v>
      </c>
      <c r="X58">
        <f t="shared" si="10"/>
        <v>0</v>
      </c>
    </row>
    <row r="59" spans="1:24" x14ac:dyDescent="0.2">
      <c r="A59" t="s">
        <v>13</v>
      </c>
      <c r="B59">
        <v>2021</v>
      </c>
      <c r="C59" t="s">
        <v>9</v>
      </c>
      <c r="D59" s="1">
        <v>44377</v>
      </c>
      <c r="E59" s="14">
        <v>0</v>
      </c>
      <c r="F59" t="s">
        <v>8</v>
      </c>
      <c r="G59" t="str">
        <f t="shared" si="11"/>
        <v/>
      </c>
      <c r="H59" t="str">
        <f t="shared" si="0"/>
        <v>ALK-2021-Q2</v>
      </c>
      <c r="I59" s="3">
        <f>_xlfn.XLOOKUP(H59,prices!A:A,prices!F:F,"no match")</f>
        <v>67.48</v>
      </c>
      <c r="J59">
        <f>_xlfn.XLOOKUP(A59,current!$A:$A,current!$B:$B,"no match")</f>
        <v>42.04</v>
      </c>
      <c r="K59">
        <f t="shared" si="1"/>
        <v>0</v>
      </c>
      <c r="L59">
        <f t="shared" si="2"/>
        <v>0</v>
      </c>
      <c r="M59">
        <f t="shared" si="3"/>
        <v>0</v>
      </c>
      <c r="N59" t="str">
        <f t="shared" si="12"/>
        <v>SPY-2021-Q2</v>
      </c>
      <c r="O59">
        <f>_xlfn.XLOOKUP(N59,prices!$A:$A,prices!$F:$F,"no match")</f>
        <v>389.03</v>
      </c>
      <c r="P59">
        <f t="shared" si="4"/>
        <v>0</v>
      </c>
      <c r="Q59">
        <f>IF(P59="","",P59*assumptions!$B$4)</f>
        <v>0</v>
      </c>
      <c r="R59" s="10">
        <f t="shared" ca="1" si="5"/>
        <v>5.1909650924024637</v>
      </c>
      <c r="S59">
        <f ca="1">IF(E59="","",E59*1000000*(1+assumptions!$B$3)^R59)</f>
        <v>0</v>
      </c>
      <c r="T59">
        <f t="shared" si="6"/>
        <v>0</v>
      </c>
      <c r="U59">
        <f t="shared" si="7"/>
        <v>31</v>
      </c>
      <c r="V59">
        <f t="shared" si="8"/>
        <v>0</v>
      </c>
      <c r="W59">
        <f t="shared" si="9"/>
        <v>0</v>
      </c>
      <c r="X59">
        <f t="shared" si="10"/>
        <v>0</v>
      </c>
    </row>
    <row r="60" spans="1:24" x14ac:dyDescent="0.2">
      <c r="A60" t="s">
        <v>13</v>
      </c>
      <c r="B60">
        <v>2021</v>
      </c>
      <c r="C60" t="s">
        <v>10</v>
      </c>
      <c r="D60" s="1">
        <v>44469</v>
      </c>
      <c r="E60" s="14">
        <v>0</v>
      </c>
      <c r="F60" t="s">
        <v>8</v>
      </c>
      <c r="G60" t="str">
        <f t="shared" si="11"/>
        <v/>
      </c>
      <c r="H60" t="str">
        <f t="shared" si="0"/>
        <v>ALK-2021-Q3</v>
      </c>
      <c r="I60" s="3">
        <f>_xlfn.XLOOKUP(H60,prices!A:A,prices!F:F,"no match")</f>
        <v>57.63</v>
      </c>
      <c r="J60">
        <f>_xlfn.XLOOKUP(A60,current!$A:$A,current!$B:$B,"no match")</f>
        <v>42.04</v>
      </c>
      <c r="K60">
        <f t="shared" si="1"/>
        <v>0</v>
      </c>
      <c r="L60">
        <f t="shared" si="2"/>
        <v>0</v>
      </c>
      <c r="M60">
        <f t="shared" si="3"/>
        <v>0</v>
      </c>
      <c r="N60" t="str">
        <f t="shared" si="12"/>
        <v>SPY-2021-Q3</v>
      </c>
      <c r="O60">
        <f>_xlfn.XLOOKUP(N60,prices!$A:$A,prices!$F:$F,"no match")</f>
        <v>412.48</v>
      </c>
      <c r="P60">
        <f t="shared" si="4"/>
        <v>0</v>
      </c>
      <c r="Q60">
        <f>IF(P60="","",P60*assumptions!$B$4)</f>
        <v>0</v>
      </c>
      <c r="R60" s="10">
        <f t="shared" ca="1" si="5"/>
        <v>4.9390828199863108</v>
      </c>
      <c r="S60">
        <f ca="1">IF(E60="","",E60*1000000*(1+assumptions!$B$3)^R60)</f>
        <v>0</v>
      </c>
      <c r="T60">
        <f t="shared" si="6"/>
        <v>0</v>
      </c>
      <c r="U60">
        <f t="shared" si="7"/>
        <v>31</v>
      </c>
      <c r="V60">
        <f t="shared" si="8"/>
        <v>0</v>
      </c>
      <c r="W60">
        <f t="shared" si="9"/>
        <v>0</v>
      </c>
      <c r="X60">
        <f t="shared" si="10"/>
        <v>0</v>
      </c>
    </row>
    <row r="61" spans="1:24" x14ac:dyDescent="0.2">
      <c r="A61" t="s">
        <v>13</v>
      </c>
      <c r="B61">
        <v>2021</v>
      </c>
      <c r="C61" t="s">
        <v>11</v>
      </c>
      <c r="D61" s="1">
        <v>44561</v>
      </c>
      <c r="E61" s="14">
        <v>0</v>
      </c>
      <c r="F61" t="s">
        <v>8</v>
      </c>
      <c r="G61" t="str">
        <f t="shared" si="11"/>
        <v/>
      </c>
      <c r="H61" t="str">
        <f t="shared" si="0"/>
        <v>ALK-2021-Q4</v>
      </c>
      <c r="I61" s="3">
        <f>_xlfn.XLOOKUP(H61,prices!A:A,prices!F:F,"no match")</f>
        <v>54.14</v>
      </c>
      <c r="J61">
        <f>_xlfn.XLOOKUP(A61,current!$A:$A,current!$B:$B,"no match")</f>
        <v>42.04</v>
      </c>
      <c r="K61">
        <f t="shared" si="1"/>
        <v>0</v>
      </c>
      <c r="L61">
        <f t="shared" si="2"/>
        <v>0</v>
      </c>
      <c r="M61">
        <f t="shared" si="3"/>
        <v>0</v>
      </c>
      <c r="N61" t="str">
        <f t="shared" si="12"/>
        <v>SPY-2021-Q4</v>
      </c>
      <c r="O61">
        <f>_xlfn.XLOOKUP(N61,prices!$A:$A,prices!$F:$F,"no match")</f>
        <v>430.69</v>
      </c>
      <c r="P61">
        <f t="shared" si="4"/>
        <v>0</v>
      </c>
      <c r="Q61">
        <f>IF(P61="","",P61*assumptions!$B$4)</f>
        <v>0</v>
      </c>
      <c r="R61" s="10">
        <f t="shared" ca="1" si="5"/>
        <v>4.687200547570157</v>
      </c>
      <c r="S61">
        <f ca="1">IF(E61="","",E61*1000000*(1+assumptions!$B$3)^R61)</f>
        <v>0</v>
      </c>
      <c r="T61">
        <f t="shared" si="6"/>
        <v>0</v>
      </c>
      <c r="U61">
        <f t="shared" si="7"/>
        <v>31</v>
      </c>
      <c r="V61">
        <f t="shared" si="8"/>
        <v>0</v>
      </c>
      <c r="W61">
        <f t="shared" si="9"/>
        <v>0</v>
      </c>
      <c r="X61">
        <f t="shared" si="10"/>
        <v>0</v>
      </c>
    </row>
    <row r="62" spans="1:24" x14ac:dyDescent="0.2">
      <c r="A62" t="s">
        <v>13</v>
      </c>
      <c r="B62">
        <v>2022</v>
      </c>
      <c r="C62" t="s">
        <v>7</v>
      </c>
      <c r="D62" s="1">
        <v>44651</v>
      </c>
      <c r="E62" s="14">
        <v>0</v>
      </c>
      <c r="F62" t="s">
        <v>8</v>
      </c>
      <c r="G62" t="str">
        <f t="shared" si="11"/>
        <v/>
      </c>
      <c r="H62" t="str">
        <f t="shared" si="0"/>
        <v>ALK-2022-Q1</v>
      </c>
      <c r="I62" s="3">
        <f>_xlfn.XLOOKUP(H62,prices!A:A,prices!F:F,"no match")</f>
        <v>54.53</v>
      </c>
      <c r="J62">
        <f>_xlfn.XLOOKUP(A62,current!$A:$A,current!$B:$B,"no match")</f>
        <v>42.04</v>
      </c>
      <c r="K62">
        <f t="shared" si="1"/>
        <v>0</v>
      </c>
      <c r="L62">
        <f t="shared" si="2"/>
        <v>0</v>
      </c>
      <c r="M62">
        <f t="shared" si="3"/>
        <v>0</v>
      </c>
      <c r="N62" t="str">
        <f t="shared" si="12"/>
        <v>SPY-2022-Q1</v>
      </c>
      <c r="O62">
        <f>_xlfn.XLOOKUP(N62,prices!$A:$A,prices!$F:$F,"no match")</f>
        <v>419.12</v>
      </c>
      <c r="P62">
        <f t="shared" si="4"/>
        <v>0</v>
      </c>
      <c r="Q62">
        <f>IF(P62="","",P62*assumptions!$B$4)</f>
        <v>0</v>
      </c>
      <c r="R62" s="10">
        <f t="shared" ca="1" si="5"/>
        <v>4.4407939767282683</v>
      </c>
      <c r="S62">
        <f ca="1">IF(E62="","",E62*1000000*(1+assumptions!$B$3)^R62)</f>
        <v>0</v>
      </c>
      <c r="T62">
        <f t="shared" si="6"/>
        <v>0</v>
      </c>
      <c r="U62">
        <f t="shared" si="7"/>
        <v>31</v>
      </c>
      <c r="V62">
        <f t="shared" si="8"/>
        <v>0</v>
      </c>
      <c r="W62">
        <f t="shared" si="9"/>
        <v>0</v>
      </c>
      <c r="X62">
        <f t="shared" si="10"/>
        <v>0</v>
      </c>
    </row>
    <row r="63" spans="1:24" x14ac:dyDescent="0.2">
      <c r="A63" t="s">
        <v>13</v>
      </c>
      <c r="B63">
        <v>2022</v>
      </c>
      <c r="C63" t="s">
        <v>9</v>
      </c>
      <c r="D63" s="1">
        <v>44742</v>
      </c>
      <c r="E63" s="14">
        <v>0</v>
      </c>
      <c r="F63" t="s">
        <v>8</v>
      </c>
      <c r="G63" t="str">
        <f t="shared" si="11"/>
        <v/>
      </c>
      <c r="H63" t="str">
        <f t="shared" si="0"/>
        <v>ALK-2022-Q2</v>
      </c>
      <c r="I63" s="3">
        <f>_xlfn.XLOOKUP(H63,prices!A:A,prices!F:F,"no match")</f>
        <v>48.82</v>
      </c>
      <c r="J63">
        <f>_xlfn.XLOOKUP(A63,current!$A:$A,current!$B:$B,"no match")</f>
        <v>42.04</v>
      </c>
      <c r="K63">
        <f t="shared" si="1"/>
        <v>0</v>
      </c>
      <c r="L63">
        <f t="shared" si="2"/>
        <v>0</v>
      </c>
      <c r="M63">
        <f t="shared" si="3"/>
        <v>0</v>
      </c>
      <c r="N63" t="str">
        <f t="shared" si="12"/>
        <v>SPY-2022-Q2</v>
      </c>
      <c r="O63">
        <f>_xlfn.XLOOKUP(N63,prices!$A:$A,prices!$F:$F,"no match")</f>
        <v>386.88</v>
      </c>
      <c r="P63">
        <f t="shared" si="4"/>
        <v>0</v>
      </c>
      <c r="Q63">
        <f>IF(P63="","",P63*assumptions!$B$4)</f>
        <v>0</v>
      </c>
      <c r="R63" s="10">
        <f t="shared" ca="1" si="5"/>
        <v>4.1916495550992474</v>
      </c>
      <c r="S63">
        <f ca="1">IF(E63="","",E63*1000000*(1+assumptions!$B$3)^R63)</f>
        <v>0</v>
      </c>
      <c r="T63">
        <f t="shared" si="6"/>
        <v>0</v>
      </c>
      <c r="U63">
        <f t="shared" si="7"/>
        <v>31</v>
      </c>
      <c r="V63">
        <f t="shared" si="8"/>
        <v>0</v>
      </c>
      <c r="W63">
        <f t="shared" si="9"/>
        <v>0</v>
      </c>
      <c r="X63">
        <f t="shared" si="10"/>
        <v>0</v>
      </c>
    </row>
    <row r="64" spans="1:24" x14ac:dyDescent="0.2">
      <c r="A64" t="s">
        <v>13</v>
      </c>
      <c r="B64">
        <v>2022</v>
      </c>
      <c r="C64" t="s">
        <v>10</v>
      </c>
      <c r="D64" s="1">
        <v>44834</v>
      </c>
      <c r="E64" s="14">
        <v>0</v>
      </c>
      <c r="F64" t="s">
        <v>8</v>
      </c>
      <c r="G64" t="str">
        <f t="shared" si="11"/>
        <v/>
      </c>
      <c r="H64" t="str">
        <f t="shared" si="0"/>
        <v>ALK-2022-Q3</v>
      </c>
      <c r="I64" s="3">
        <f>_xlfn.XLOOKUP(H64,prices!A:A,prices!F:F,"no match")</f>
        <v>43.92</v>
      </c>
      <c r="J64">
        <f>_xlfn.XLOOKUP(A64,current!$A:$A,current!$B:$B,"no match")</f>
        <v>42.04</v>
      </c>
      <c r="K64">
        <f t="shared" si="1"/>
        <v>0</v>
      </c>
      <c r="L64">
        <f t="shared" si="2"/>
        <v>0</v>
      </c>
      <c r="M64">
        <f t="shared" si="3"/>
        <v>0</v>
      </c>
      <c r="N64" t="str">
        <f t="shared" si="12"/>
        <v>SPY-2022-Q3</v>
      </c>
      <c r="O64">
        <f>_xlfn.XLOOKUP(N64,prices!$A:$A,prices!$F:$F,"no match")</f>
        <v>376.69</v>
      </c>
      <c r="P64">
        <f t="shared" si="4"/>
        <v>0</v>
      </c>
      <c r="Q64">
        <f>IF(P64="","",P64*assumptions!$B$4)</f>
        <v>0</v>
      </c>
      <c r="R64" s="10">
        <f t="shared" ca="1" si="5"/>
        <v>3.9397672826830936</v>
      </c>
      <c r="S64">
        <f ca="1">IF(E64="","",E64*1000000*(1+assumptions!$B$3)^R64)</f>
        <v>0</v>
      </c>
      <c r="T64">
        <f t="shared" si="6"/>
        <v>0</v>
      </c>
      <c r="U64">
        <f t="shared" si="7"/>
        <v>31</v>
      </c>
      <c r="V64">
        <f t="shared" si="8"/>
        <v>0</v>
      </c>
      <c r="W64">
        <f t="shared" si="9"/>
        <v>0</v>
      </c>
      <c r="X64">
        <f t="shared" si="10"/>
        <v>0</v>
      </c>
    </row>
    <row r="65" spans="1:24" x14ac:dyDescent="0.2">
      <c r="A65" t="s">
        <v>13</v>
      </c>
      <c r="B65">
        <v>2022</v>
      </c>
      <c r="C65" t="s">
        <v>11</v>
      </c>
      <c r="D65" s="1">
        <v>44926</v>
      </c>
      <c r="E65" s="14">
        <v>0</v>
      </c>
      <c r="F65" t="s">
        <v>8</v>
      </c>
      <c r="G65" t="str">
        <f t="shared" si="11"/>
        <v/>
      </c>
      <c r="H65" t="str">
        <f t="shared" si="0"/>
        <v>ALK-2022-Q4</v>
      </c>
      <c r="I65" s="3">
        <f>_xlfn.XLOOKUP(H65,prices!A:A,prices!F:F,"no match")</f>
        <v>44.06</v>
      </c>
      <c r="J65">
        <f>_xlfn.XLOOKUP(A65,current!$A:$A,current!$B:$B,"no match")</f>
        <v>42.04</v>
      </c>
      <c r="K65">
        <f t="shared" si="1"/>
        <v>0</v>
      </c>
      <c r="L65">
        <f t="shared" si="2"/>
        <v>0</v>
      </c>
      <c r="M65">
        <f t="shared" si="3"/>
        <v>0</v>
      </c>
      <c r="N65" t="str">
        <f t="shared" si="12"/>
        <v>SPY-2022-Q4</v>
      </c>
      <c r="O65">
        <f>_xlfn.XLOOKUP(N65,prices!$A:$A,prices!$F:$F,"no match")</f>
        <v>366.1</v>
      </c>
      <c r="P65">
        <f t="shared" si="4"/>
        <v>0</v>
      </c>
      <c r="Q65">
        <f>IF(P65="","",P65*assumptions!$B$4)</f>
        <v>0</v>
      </c>
      <c r="R65" s="10">
        <f t="shared" ca="1" si="5"/>
        <v>3.6878850102669403</v>
      </c>
      <c r="S65">
        <f ca="1">IF(E65="","",E65*1000000*(1+assumptions!$B$3)^R65)</f>
        <v>0</v>
      </c>
      <c r="T65">
        <f t="shared" si="6"/>
        <v>0</v>
      </c>
      <c r="U65">
        <f t="shared" si="7"/>
        <v>31</v>
      </c>
      <c r="V65">
        <f t="shared" si="8"/>
        <v>0</v>
      </c>
      <c r="W65">
        <f t="shared" si="9"/>
        <v>0</v>
      </c>
      <c r="X65">
        <f t="shared" si="10"/>
        <v>0</v>
      </c>
    </row>
    <row r="66" spans="1:24" x14ac:dyDescent="0.2">
      <c r="A66" t="s">
        <v>13</v>
      </c>
      <c r="B66">
        <v>2023</v>
      </c>
      <c r="C66" t="s">
        <v>7</v>
      </c>
      <c r="D66" s="1">
        <v>45016</v>
      </c>
      <c r="E66" s="14">
        <v>18</v>
      </c>
      <c r="F66" t="s">
        <v>8</v>
      </c>
      <c r="G66" t="str">
        <f t="shared" si="11"/>
        <v/>
      </c>
      <c r="H66" t="str">
        <f t="shared" ref="H66:H127" si="13">A66&amp;"-"&amp;B66&amp;"-"&amp;C66</f>
        <v>ALK-2023-Q1</v>
      </c>
      <c r="I66" s="3">
        <f>_xlfn.XLOOKUP(H66,prices!A:A,prices!F:F,"no match")</f>
        <v>46.91</v>
      </c>
      <c r="J66">
        <f>_xlfn.XLOOKUP(A66,current!$A:$A,current!$B:$B,"no match")</f>
        <v>42.04</v>
      </c>
      <c r="K66">
        <f t="shared" ref="K66:K127" si="14">IF(E66="","",E66*1000000/I66)</f>
        <v>383713.49392453639</v>
      </c>
      <c r="L66">
        <f t="shared" ref="L66:L127" si="15">IF(K66="","",K66*J66)</f>
        <v>16131315.28458751</v>
      </c>
      <c r="M66">
        <f t="shared" ref="M66:M127" si="16">IF(E66="","",E66*D66)</f>
        <v>810288</v>
      </c>
      <c r="N66" t="str">
        <f t="shared" ref="N66:N127" si="17">"SPY-"&amp;B66&amp;"-"&amp;C66</f>
        <v>SPY-2023-Q1</v>
      </c>
      <c r="O66">
        <f>_xlfn.XLOOKUP(N66,prices!$A:$A,prices!$F:$F,"no match")</f>
        <v>381.76</v>
      </c>
      <c r="P66">
        <f t="shared" ref="P66:P127" si="18">IF(E66="","",E66*1000000/O66)</f>
        <v>47150.041911148364</v>
      </c>
      <c r="Q66">
        <f>IF(P66="","",P66*assumptions!$B$4)</f>
        <v>36314490.779547364</v>
      </c>
      <c r="R66" s="10">
        <f t="shared" ref="R66:R127" ca="1" si="19">IF(E66="","",(TODAY()-D66)/365.25)</f>
        <v>3.4414784394250515</v>
      </c>
      <c r="S66">
        <f ca="1">IF(E66="","",E66*1000000*(1+assumptions!$B$3)^R66)</f>
        <v>20567127.355888877</v>
      </c>
      <c r="T66">
        <f t="shared" ref="T66:T127" si="20">IF(E66="",0,IF(E66&gt;0,1,0))</f>
        <v>1</v>
      </c>
      <c r="U66">
        <f t="shared" ref="U66:U129" si="21">SUMIFS($T:$T,$A:$A,$A66)</f>
        <v>31</v>
      </c>
      <c r="V66">
        <f t="shared" ref="V66:V129" si="22">IF(T66=0,0,SUMIFS($E:$E,$A:$A,$A66)/U66)</f>
        <v>70.903225806451616</v>
      </c>
      <c r="W66">
        <f t="shared" ref="W66:W127" si="23">IF(V66=0,0,V66*1000000/I66)</f>
        <v>1511473.583595217</v>
      </c>
      <c r="X66">
        <f t="shared" ref="X66:X127" si="24">IF(W66=0,0,W66*J66)</f>
        <v>63542349.454342917</v>
      </c>
    </row>
    <row r="67" spans="1:24" x14ac:dyDescent="0.2">
      <c r="A67" t="s">
        <v>13</v>
      </c>
      <c r="B67">
        <v>2023</v>
      </c>
      <c r="C67" t="s">
        <v>9</v>
      </c>
      <c r="D67" s="1">
        <v>45107</v>
      </c>
      <c r="E67" s="14">
        <v>39</v>
      </c>
      <c r="F67" t="s">
        <v>8</v>
      </c>
      <c r="G67" t="str">
        <f t="shared" ref="G67:G128" si="25">IF(F67&lt;&gt;"missing","",IF(D67&gt;DATE(2026,6,30),"not yet filed","no repurchases reported"))</f>
        <v/>
      </c>
      <c r="H67" t="str">
        <f t="shared" si="13"/>
        <v>ALK-2023-Q2</v>
      </c>
      <c r="I67" s="3">
        <f>_xlfn.XLOOKUP(H67,prices!A:A,prices!F:F,"no match")</f>
        <v>45.46</v>
      </c>
      <c r="J67">
        <f>_xlfn.XLOOKUP(A67,current!$A:$A,current!$B:$B,"no match")</f>
        <v>42.04</v>
      </c>
      <c r="K67">
        <f t="shared" si="14"/>
        <v>857897.0523537175</v>
      </c>
      <c r="L67">
        <f t="shared" si="15"/>
        <v>36065992.080950283</v>
      </c>
      <c r="M67">
        <f t="shared" si="16"/>
        <v>1759173</v>
      </c>
      <c r="N67" t="str">
        <f t="shared" si="17"/>
        <v>SPY-2023-Q2</v>
      </c>
      <c r="O67">
        <f>_xlfn.XLOOKUP(N67,prices!$A:$A,prices!$F:$F,"no match")</f>
        <v>403.08</v>
      </c>
      <c r="P67">
        <f t="shared" si="18"/>
        <v>96754.986603155703</v>
      </c>
      <c r="Q67">
        <f>IF(P67="","",P67*assumptions!$B$4)</f>
        <v>74519723.1318845</v>
      </c>
      <c r="R67" s="10">
        <f t="shared" ca="1" si="19"/>
        <v>3.1923340177960302</v>
      </c>
      <c r="S67">
        <f ca="1">IF(E67="","",E67*1000000*(1+assumptions!$B$3)^R67)</f>
        <v>44134073.14975065</v>
      </c>
      <c r="T67">
        <f t="shared" si="20"/>
        <v>1</v>
      </c>
      <c r="U67">
        <f t="shared" si="21"/>
        <v>31</v>
      </c>
      <c r="V67">
        <f t="shared" si="22"/>
        <v>70.903225806451616</v>
      </c>
      <c r="W67">
        <f t="shared" si="23"/>
        <v>1559683.8056852533</v>
      </c>
      <c r="X67">
        <f t="shared" si="24"/>
        <v>65569107.191008046</v>
      </c>
    </row>
    <row r="68" spans="1:24" x14ac:dyDescent="0.2">
      <c r="A68" t="s">
        <v>13</v>
      </c>
      <c r="B68">
        <v>2023</v>
      </c>
      <c r="C68" t="s">
        <v>10</v>
      </c>
      <c r="D68" s="1">
        <v>45199</v>
      </c>
      <c r="E68" s="14">
        <v>13</v>
      </c>
      <c r="F68" t="s">
        <v>8</v>
      </c>
      <c r="G68" t="str">
        <f t="shared" si="25"/>
        <v/>
      </c>
      <c r="H68" t="str">
        <f t="shared" si="13"/>
        <v>ALK-2023-Q3</v>
      </c>
      <c r="I68" s="3">
        <f>_xlfn.XLOOKUP(H68,prices!A:A,prices!F:F,"no match")</f>
        <v>45.29</v>
      </c>
      <c r="J68">
        <f>_xlfn.XLOOKUP(A68,current!$A:$A,current!$B:$B,"no match")</f>
        <v>42.04</v>
      </c>
      <c r="K68">
        <f t="shared" si="14"/>
        <v>287039.0814749393</v>
      </c>
      <c r="L68">
        <f t="shared" si="15"/>
        <v>12067122.985206448</v>
      </c>
      <c r="M68">
        <f t="shared" si="16"/>
        <v>587587</v>
      </c>
      <c r="N68" t="str">
        <f t="shared" si="17"/>
        <v>SPY-2023-Q3</v>
      </c>
      <c r="O68">
        <f>_xlfn.XLOOKUP(N68,prices!$A:$A,prices!$F:$F,"no match")</f>
        <v>428.75</v>
      </c>
      <c r="P68">
        <f t="shared" si="18"/>
        <v>30320.699708454809</v>
      </c>
      <c r="Q68">
        <f>IF(P68="","",P68*assumptions!$B$4)</f>
        <v>23352699.70845481</v>
      </c>
      <c r="R68" s="10">
        <f t="shared" ca="1" si="19"/>
        <v>2.9404517453798769</v>
      </c>
      <c r="S68">
        <f ca="1">IF(E68="","",E68*1000000*(1+assumptions!$B$3)^R68)</f>
        <v>14568504.219202781</v>
      </c>
      <c r="T68">
        <f t="shared" si="20"/>
        <v>1</v>
      </c>
      <c r="U68">
        <f t="shared" si="21"/>
        <v>31</v>
      </c>
      <c r="V68">
        <f t="shared" si="22"/>
        <v>70.903225806451616</v>
      </c>
      <c r="W68">
        <f t="shared" si="23"/>
        <v>1565538.2160841604</v>
      </c>
      <c r="X68">
        <f t="shared" si="24"/>
        <v>65815226.604178101</v>
      </c>
    </row>
    <row r="69" spans="1:24" x14ac:dyDescent="0.2">
      <c r="A69" t="s">
        <v>13</v>
      </c>
      <c r="B69">
        <v>2023</v>
      </c>
      <c r="C69" t="s">
        <v>11</v>
      </c>
      <c r="D69" s="1">
        <v>45291</v>
      </c>
      <c r="E69" s="14">
        <v>67</v>
      </c>
      <c r="F69" t="s">
        <v>8</v>
      </c>
      <c r="G69" t="str">
        <f t="shared" si="25"/>
        <v/>
      </c>
      <c r="H69" t="str">
        <f t="shared" si="13"/>
        <v>ALK-2023-Q4</v>
      </c>
      <c r="I69" s="3">
        <f>_xlfn.XLOOKUP(H69,prices!A:A,prices!F:F,"no match")</f>
        <v>35.659999999999997</v>
      </c>
      <c r="J69">
        <f>_xlfn.XLOOKUP(A69,current!$A:$A,current!$B:$B,"no match")</f>
        <v>42.04</v>
      </c>
      <c r="K69">
        <f t="shared" si="14"/>
        <v>1878855.8609085812</v>
      </c>
      <c r="L69">
        <f t="shared" si="15"/>
        <v>78987100.392596751</v>
      </c>
      <c r="M69">
        <f t="shared" si="16"/>
        <v>3034497</v>
      </c>
      <c r="N69" t="str">
        <f t="shared" si="17"/>
        <v>SPY-2023-Q4</v>
      </c>
      <c r="O69">
        <f>_xlfn.XLOOKUP(N69,prices!$A:$A,prices!$F:$F,"no match")</f>
        <v>430.96</v>
      </c>
      <c r="P69">
        <f t="shared" si="18"/>
        <v>155466.8646742157</v>
      </c>
      <c r="Q69">
        <f>IF(P69="","",P69*assumptions!$B$4)</f>
        <v>119739024.5034342</v>
      </c>
      <c r="R69" s="10">
        <f t="shared" ca="1" si="19"/>
        <v>2.6885694729637235</v>
      </c>
      <c r="S69">
        <f ca="1">IF(E69="","",E69*1000000*(1+assumptions!$B$3)^R69)</f>
        <v>74354733.738819465</v>
      </c>
      <c r="T69">
        <f t="shared" si="20"/>
        <v>1</v>
      </c>
      <c r="U69">
        <f t="shared" si="21"/>
        <v>31</v>
      </c>
      <c r="V69">
        <f t="shared" si="22"/>
        <v>70.903225806451616</v>
      </c>
      <c r="W69">
        <f t="shared" si="23"/>
        <v>1988312.5576683013</v>
      </c>
      <c r="X69">
        <f t="shared" si="24"/>
        <v>83588659.924375385</v>
      </c>
    </row>
    <row r="70" spans="1:24" x14ac:dyDescent="0.2">
      <c r="A70" t="s">
        <v>13</v>
      </c>
      <c r="B70">
        <v>2024</v>
      </c>
      <c r="C70" t="s">
        <v>7</v>
      </c>
      <c r="D70" s="1">
        <v>45382</v>
      </c>
      <c r="E70" s="14">
        <v>20</v>
      </c>
      <c r="F70" t="s">
        <v>8</v>
      </c>
      <c r="G70" t="str">
        <f t="shared" si="25"/>
        <v/>
      </c>
      <c r="H70" t="str">
        <f t="shared" si="13"/>
        <v>ALK-2024-Q1</v>
      </c>
      <c r="I70" s="3">
        <f>_xlfn.XLOOKUP(H70,prices!A:A,prices!F:F,"no match")</f>
        <v>37.409999999999997</v>
      </c>
      <c r="J70">
        <f>_xlfn.XLOOKUP(A70,current!$A:$A,current!$B:$B,"no match")</f>
        <v>42.04</v>
      </c>
      <c r="K70">
        <f t="shared" si="14"/>
        <v>534616.41272387072</v>
      </c>
      <c r="L70">
        <f t="shared" si="15"/>
        <v>22475273.990911525</v>
      </c>
      <c r="M70">
        <f t="shared" si="16"/>
        <v>907640</v>
      </c>
      <c r="N70" t="str">
        <f t="shared" si="17"/>
        <v>SPY-2024-Q1</v>
      </c>
      <c r="O70">
        <f>_xlfn.XLOOKUP(N70,prices!$A:$A,prices!$F:$F,"no match")</f>
        <v>483.53</v>
      </c>
      <c r="P70">
        <f t="shared" si="18"/>
        <v>41362.480094306455</v>
      </c>
      <c r="Q70">
        <f>IF(P70="","",P70*assumptions!$B$4)</f>
        <v>31856968.543833889</v>
      </c>
      <c r="R70" s="10">
        <f t="shared" ca="1" si="19"/>
        <v>2.4394250513347022</v>
      </c>
      <c r="S70">
        <f ca="1">IF(E70="","",E70*1000000*(1+assumptions!$B$3)^R70)</f>
        <v>21982247.179869693</v>
      </c>
      <c r="T70">
        <f t="shared" si="20"/>
        <v>1</v>
      </c>
      <c r="U70">
        <f t="shared" si="21"/>
        <v>31</v>
      </c>
      <c r="V70">
        <f t="shared" si="22"/>
        <v>70.903225806451616</v>
      </c>
      <c r="W70">
        <f t="shared" si="23"/>
        <v>1895301.4115597869</v>
      </c>
      <c r="X70">
        <f t="shared" si="24"/>
        <v>79678471.341973439</v>
      </c>
    </row>
    <row r="71" spans="1:24" x14ac:dyDescent="0.2">
      <c r="A71" t="s">
        <v>13</v>
      </c>
      <c r="B71">
        <v>2024</v>
      </c>
      <c r="C71" t="s">
        <v>9</v>
      </c>
      <c r="D71" s="1">
        <v>45473</v>
      </c>
      <c r="E71" s="14">
        <v>29</v>
      </c>
      <c r="F71" t="s">
        <v>8</v>
      </c>
      <c r="G71" t="str">
        <f t="shared" si="25"/>
        <v/>
      </c>
      <c r="H71" t="str">
        <f t="shared" si="13"/>
        <v>ALK-2024-Q2</v>
      </c>
      <c r="I71" s="3">
        <f>_xlfn.XLOOKUP(H71,prices!A:A,prices!F:F,"no match")</f>
        <v>42.43</v>
      </c>
      <c r="J71">
        <f>_xlfn.XLOOKUP(A71,current!$A:$A,current!$B:$B,"no match")</f>
        <v>42.04</v>
      </c>
      <c r="K71">
        <f t="shared" si="14"/>
        <v>683478.67075182649</v>
      </c>
      <c r="L71">
        <f t="shared" si="15"/>
        <v>28733443.318406787</v>
      </c>
      <c r="M71">
        <f t="shared" si="16"/>
        <v>1318717</v>
      </c>
      <c r="N71" t="str">
        <f t="shared" si="17"/>
        <v>SPY-2024-Q2</v>
      </c>
      <c r="O71">
        <f>_xlfn.XLOOKUP(N71,prices!$A:$A,prices!$F:$F,"no match")</f>
        <v>509.8</v>
      </c>
      <c r="P71">
        <f t="shared" si="18"/>
        <v>56885.052961945861</v>
      </c>
      <c r="Q71">
        <f>IF(P71="","",P71*assumptions!$B$4)</f>
        <v>43812298.940761089</v>
      </c>
      <c r="R71" s="10">
        <f t="shared" ca="1" si="19"/>
        <v>2.1902806297056809</v>
      </c>
      <c r="S71">
        <f ca="1">IF(E71="","",E71*1000000*(1+assumptions!$B$3)^R71)</f>
        <v>31568093.954864528</v>
      </c>
      <c r="T71">
        <f t="shared" si="20"/>
        <v>1</v>
      </c>
      <c r="U71">
        <f t="shared" si="21"/>
        <v>31</v>
      </c>
      <c r="V71">
        <f t="shared" si="22"/>
        <v>70.903225806451616</v>
      </c>
      <c r="W71">
        <f t="shared" si="23"/>
        <v>1671063.5353865572</v>
      </c>
      <c r="X71">
        <f t="shared" si="24"/>
        <v>70251511.027650863</v>
      </c>
    </row>
    <row r="72" spans="1:24" x14ac:dyDescent="0.2">
      <c r="A72" t="s">
        <v>13</v>
      </c>
      <c r="B72">
        <v>2024</v>
      </c>
      <c r="C72" t="s">
        <v>10</v>
      </c>
      <c r="D72" s="1">
        <v>45565</v>
      </c>
      <c r="E72" s="14">
        <v>14</v>
      </c>
      <c r="F72" t="s">
        <v>8</v>
      </c>
      <c r="G72" t="str">
        <f t="shared" si="25"/>
        <v/>
      </c>
      <c r="H72" t="str">
        <f t="shared" si="13"/>
        <v>ALK-2024-Q3</v>
      </c>
      <c r="I72" s="3">
        <f>_xlfn.XLOOKUP(H72,prices!A:A,prices!F:F,"no match")</f>
        <v>37.94</v>
      </c>
      <c r="J72">
        <f>_xlfn.XLOOKUP(A72,current!$A:$A,current!$B:$B,"no match")</f>
        <v>42.04</v>
      </c>
      <c r="K72">
        <f t="shared" si="14"/>
        <v>369003.6900369004</v>
      </c>
      <c r="L72">
        <f t="shared" si="15"/>
        <v>15512915.129151292</v>
      </c>
      <c r="M72">
        <f t="shared" si="16"/>
        <v>637910</v>
      </c>
      <c r="N72" t="str">
        <f t="shared" si="17"/>
        <v>SPY-2024-Q3</v>
      </c>
      <c r="O72">
        <f>_xlfn.XLOOKUP(N72,prices!$A:$A,prices!$F:$F,"no match")</f>
        <v>540.33000000000004</v>
      </c>
      <c r="P72">
        <f t="shared" si="18"/>
        <v>25910.091980826532</v>
      </c>
      <c r="Q72">
        <f>IF(P72="","",P72*assumptions!$B$4)</f>
        <v>19955693.742712788</v>
      </c>
      <c r="R72" s="10">
        <f t="shared" ca="1" si="19"/>
        <v>1.9383983572895278</v>
      </c>
      <c r="S72">
        <f ca="1">IF(E72="","",E72*1000000*(1+assumptions!$B$3)^R72)</f>
        <v>15091784.89650161</v>
      </c>
      <c r="T72">
        <f t="shared" si="20"/>
        <v>1</v>
      </c>
      <c r="U72">
        <f t="shared" si="21"/>
        <v>31</v>
      </c>
      <c r="V72">
        <f t="shared" si="22"/>
        <v>70.903225806451616</v>
      </c>
      <c r="W72">
        <f t="shared" si="23"/>
        <v>1868825.1398643022</v>
      </c>
      <c r="X72">
        <f t="shared" si="24"/>
        <v>78565408.87989527</v>
      </c>
    </row>
    <row r="73" spans="1:24" x14ac:dyDescent="0.2">
      <c r="A73" t="s">
        <v>13</v>
      </c>
      <c r="B73">
        <v>2024</v>
      </c>
      <c r="C73" t="s">
        <v>11</v>
      </c>
      <c r="D73" s="1">
        <v>45657</v>
      </c>
      <c r="E73" s="14">
        <v>249</v>
      </c>
      <c r="F73" t="s">
        <v>8</v>
      </c>
      <c r="G73" t="str">
        <f t="shared" si="25"/>
        <v/>
      </c>
      <c r="H73" t="str">
        <f t="shared" si="13"/>
        <v>ALK-2024-Q4</v>
      </c>
      <c r="I73" s="3">
        <f>_xlfn.XLOOKUP(H73,prices!A:A,prices!F:F,"no match")</f>
        <v>52.57</v>
      </c>
      <c r="J73">
        <f>_xlfn.XLOOKUP(A73,current!$A:$A,current!$B:$B,"no match")</f>
        <v>42.04</v>
      </c>
      <c r="K73">
        <f t="shared" si="14"/>
        <v>4736541.753852007</v>
      </c>
      <c r="L73">
        <f t="shared" si="15"/>
        <v>199124215.33193836</v>
      </c>
      <c r="M73">
        <f t="shared" si="16"/>
        <v>11368593</v>
      </c>
      <c r="N73" t="str">
        <f t="shared" si="17"/>
        <v>SPY-2024-Q4</v>
      </c>
      <c r="O73">
        <f>_xlfn.XLOOKUP(N73,prices!$A:$A,prices!$F:$F,"no match")</f>
        <v>577.52</v>
      </c>
      <c r="P73">
        <f t="shared" si="18"/>
        <v>431153.89943205431</v>
      </c>
      <c r="Q73">
        <f>IF(P73="","",P73*assumptions!$B$4)</f>
        <v>332070421.80357391</v>
      </c>
      <c r="R73" s="10">
        <f t="shared" ca="1" si="19"/>
        <v>1.6865160848733745</v>
      </c>
      <c r="S73">
        <f ca="1">IF(E73="","",E73*1000000*(1+assumptions!$B$3)^R73)</f>
        <v>265811720.38129583</v>
      </c>
      <c r="T73">
        <f t="shared" si="20"/>
        <v>1</v>
      </c>
      <c r="U73">
        <f t="shared" si="21"/>
        <v>31</v>
      </c>
      <c r="V73">
        <f t="shared" si="22"/>
        <v>70.903225806451616</v>
      </c>
      <c r="W73">
        <f t="shared" si="23"/>
        <v>1348739.3153215069</v>
      </c>
      <c r="X73">
        <f t="shared" si="24"/>
        <v>56701000.816116147</v>
      </c>
    </row>
    <row r="74" spans="1:24" x14ac:dyDescent="0.2">
      <c r="A74" t="s">
        <v>13</v>
      </c>
      <c r="B74">
        <v>2025</v>
      </c>
      <c r="C74" t="s">
        <v>7</v>
      </c>
      <c r="D74" s="1">
        <v>45747</v>
      </c>
      <c r="E74" s="14">
        <v>105</v>
      </c>
      <c r="F74" t="s">
        <v>8</v>
      </c>
      <c r="G74" t="str">
        <f t="shared" si="25"/>
        <v/>
      </c>
      <c r="H74" t="str">
        <f t="shared" si="13"/>
        <v>ALK-2025-Q1</v>
      </c>
      <c r="I74" s="3">
        <f>_xlfn.XLOOKUP(H74,prices!A:A,prices!F:F,"no match")</f>
        <v>65.650000000000006</v>
      </c>
      <c r="J74">
        <f>_xlfn.XLOOKUP(A74,current!$A:$A,current!$B:$B,"no match")</f>
        <v>42.04</v>
      </c>
      <c r="K74">
        <f t="shared" si="14"/>
        <v>1599390.7083015991</v>
      </c>
      <c r="L74">
        <f t="shared" si="15"/>
        <v>67238385.376999229</v>
      </c>
      <c r="M74">
        <f t="shared" si="16"/>
        <v>4803435</v>
      </c>
      <c r="N74" t="str">
        <f t="shared" si="17"/>
        <v>SPY-2025-Q1</v>
      </c>
      <c r="O74">
        <f>_xlfn.XLOOKUP(N74,prices!$A:$A,prices!$F:$F,"no match")</f>
        <v>578.08000000000004</v>
      </c>
      <c r="P74">
        <f t="shared" si="18"/>
        <v>181635.75975643509</v>
      </c>
      <c r="Q74">
        <f>IF(P74="","",P74*assumptions!$B$4)</f>
        <v>139894045.80680874</v>
      </c>
      <c r="R74" s="10">
        <f t="shared" ca="1" si="19"/>
        <v>1.4401095140314852</v>
      </c>
      <c r="S74">
        <f ca="1">IF(E74="","",E74*1000000*(1+assumptions!$B$3)^R74)</f>
        <v>111024394.28356741</v>
      </c>
      <c r="T74">
        <f t="shared" si="20"/>
        <v>1</v>
      </c>
      <c r="U74">
        <f t="shared" si="21"/>
        <v>31</v>
      </c>
      <c r="V74">
        <f t="shared" si="22"/>
        <v>70.903225806451616</v>
      </c>
      <c r="W74">
        <f t="shared" si="23"/>
        <v>1080018.6718423704</v>
      </c>
      <c r="X74">
        <f t="shared" si="24"/>
        <v>45403984.964253254</v>
      </c>
    </row>
    <row r="75" spans="1:24" x14ac:dyDescent="0.2">
      <c r="A75" t="s">
        <v>13</v>
      </c>
      <c r="B75">
        <v>2025</v>
      </c>
      <c r="C75" t="s">
        <v>9</v>
      </c>
      <c r="D75" s="1">
        <v>45838</v>
      </c>
      <c r="E75" s="14">
        <v>430</v>
      </c>
      <c r="F75" t="s">
        <v>8</v>
      </c>
      <c r="G75" t="str">
        <f t="shared" si="25"/>
        <v/>
      </c>
      <c r="H75" t="str">
        <f t="shared" si="13"/>
        <v>ALK-2025-Q2</v>
      </c>
      <c r="I75" s="3">
        <f>_xlfn.XLOOKUP(H75,prices!A:A,prices!F:F,"no match")</f>
        <v>48.58</v>
      </c>
      <c r="J75">
        <f>_xlfn.XLOOKUP(A75,current!$A:$A,current!$B:$B,"no match")</f>
        <v>42.04</v>
      </c>
      <c r="K75">
        <f t="shared" si="14"/>
        <v>8851379.1683820505</v>
      </c>
      <c r="L75">
        <f t="shared" si="15"/>
        <v>372111980.23878139</v>
      </c>
      <c r="M75">
        <f t="shared" si="16"/>
        <v>19710340</v>
      </c>
      <c r="N75" t="str">
        <f t="shared" si="17"/>
        <v>SPY-2025-Q2</v>
      </c>
      <c r="O75">
        <f>_xlfn.XLOOKUP(N75,prices!$A:$A,prices!$F:$F,"no match")</f>
        <v>563.91</v>
      </c>
      <c r="P75">
        <f t="shared" si="18"/>
        <v>762533.02832012204</v>
      </c>
      <c r="Q75">
        <f>IF(P75="","",P75*assumptions!$B$4)</f>
        <v>587295313.08187485</v>
      </c>
      <c r="R75" s="10">
        <f t="shared" ca="1" si="19"/>
        <v>1.1909650924024642</v>
      </c>
      <c r="S75">
        <f ca="1">IF(E75="","",E75*1000000*(1+assumptions!$B$3)^R75)</f>
        <v>450304036.77297997</v>
      </c>
      <c r="T75">
        <f t="shared" si="20"/>
        <v>1</v>
      </c>
      <c r="U75">
        <f t="shared" si="21"/>
        <v>31</v>
      </c>
      <c r="V75">
        <f t="shared" si="22"/>
        <v>70.903225806451616</v>
      </c>
      <c r="W75">
        <f t="shared" si="23"/>
        <v>1459514.7345914291</v>
      </c>
      <c r="X75">
        <f t="shared" si="24"/>
        <v>61357999.442223676</v>
      </c>
    </row>
    <row r="76" spans="1:24" x14ac:dyDescent="0.2">
      <c r="A76" t="s">
        <v>13</v>
      </c>
      <c r="B76">
        <v>2025</v>
      </c>
      <c r="C76" t="s">
        <v>10</v>
      </c>
      <c r="D76" s="1">
        <v>45930</v>
      </c>
      <c r="E76" s="14">
        <v>5</v>
      </c>
      <c r="F76" t="s">
        <v>8</v>
      </c>
      <c r="G76" t="str">
        <f t="shared" si="25"/>
        <v/>
      </c>
      <c r="H76" t="str">
        <f t="shared" si="13"/>
        <v>ALK-2025-Q3</v>
      </c>
      <c r="I76" s="3">
        <f>_xlfn.XLOOKUP(H76,prices!A:A,prices!F:F,"no match")</f>
        <v>55.61</v>
      </c>
      <c r="J76">
        <f>_xlfn.XLOOKUP(A76,current!$A:$A,current!$B:$B,"no match")</f>
        <v>42.04</v>
      </c>
      <c r="K76">
        <f t="shared" si="14"/>
        <v>89911.886351375651</v>
      </c>
      <c r="L76">
        <f t="shared" si="15"/>
        <v>3779895.7022118322</v>
      </c>
      <c r="M76">
        <f t="shared" si="16"/>
        <v>229650</v>
      </c>
      <c r="N76" t="str">
        <f t="shared" si="17"/>
        <v>SPY-2025-Q3</v>
      </c>
      <c r="O76">
        <f>_xlfn.XLOOKUP(N76,prices!$A:$A,prices!$F:$F,"no match")</f>
        <v>634.23</v>
      </c>
      <c r="P76">
        <f t="shared" si="18"/>
        <v>7883.575359096857</v>
      </c>
      <c r="Q76">
        <f>IF(P76="","",P76*assumptions!$B$4)</f>
        <v>6071850.9058228089</v>
      </c>
      <c r="R76" s="10">
        <f t="shared" ca="1" si="19"/>
        <v>0.93908281998631071</v>
      </c>
      <c r="S76">
        <f ca="1">IF(E76="","",E76*1000000*(1+assumptions!$B$3)^R76)</f>
        <v>5185248.7717593955</v>
      </c>
      <c r="T76">
        <f t="shared" si="20"/>
        <v>1</v>
      </c>
      <c r="U76">
        <f t="shared" si="21"/>
        <v>31</v>
      </c>
      <c r="V76">
        <f t="shared" si="22"/>
        <v>70.903225806451616</v>
      </c>
      <c r="W76">
        <f t="shared" si="23"/>
        <v>1275008.5561311205</v>
      </c>
      <c r="X76">
        <f t="shared" si="24"/>
        <v>53601359.699752308</v>
      </c>
    </row>
    <row r="77" spans="1:24" x14ac:dyDescent="0.2">
      <c r="A77" t="s">
        <v>13</v>
      </c>
      <c r="B77">
        <v>2025</v>
      </c>
      <c r="C77" t="s">
        <v>11</v>
      </c>
      <c r="D77" s="1">
        <v>46022</v>
      </c>
      <c r="E77" s="14">
        <v>30</v>
      </c>
      <c r="F77" t="s">
        <v>8</v>
      </c>
      <c r="G77" t="str">
        <f t="shared" si="25"/>
        <v/>
      </c>
      <c r="H77" t="str">
        <f t="shared" si="13"/>
        <v>ALK-2025-Q4</v>
      </c>
      <c r="I77" s="3">
        <f>_xlfn.XLOOKUP(H77,prices!A:A,prices!F:F,"no match")</f>
        <v>46.23</v>
      </c>
      <c r="J77">
        <f>_xlfn.XLOOKUP(A77,current!$A:$A,current!$B:$B,"no match")</f>
        <v>42.04</v>
      </c>
      <c r="K77">
        <f t="shared" si="14"/>
        <v>648929.26670992863</v>
      </c>
      <c r="L77">
        <f t="shared" si="15"/>
        <v>27280986.372485399</v>
      </c>
      <c r="M77">
        <f t="shared" si="16"/>
        <v>1380660</v>
      </c>
      <c r="N77" t="str">
        <f t="shared" si="17"/>
        <v>SPY-2025-Q4</v>
      </c>
      <c r="O77">
        <f>_xlfn.XLOOKUP(N77,prices!$A:$A,prices!$F:$F,"no match")</f>
        <v>670.58</v>
      </c>
      <c r="P77">
        <f t="shared" si="18"/>
        <v>44737.391511825583</v>
      </c>
      <c r="Q77">
        <f>IF(P77="","",P77*assumptions!$B$4)</f>
        <v>34456291.568492949</v>
      </c>
      <c r="R77" s="10">
        <f t="shared" ca="1" si="19"/>
        <v>0.68720054757015747</v>
      </c>
      <c r="S77">
        <f ca="1">IF(E77="","",E77*1000000*(1+assumptions!$B$3)^R77)</f>
        <v>30809386.895883024</v>
      </c>
      <c r="T77">
        <f t="shared" si="20"/>
        <v>1</v>
      </c>
      <c r="U77">
        <f t="shared" si="21"/>
        <v>31</v>
      </c>
      <c r="V77">
        <f t="shared" si="22"/>
        <v>70.903225806451616</v>
      </c>
      <c r="W77">
        <f t="shared" si="23"/>
        <v>1533705.944331638</v>
      </c>
      <c r="X77">
        <f t="shared" si="24"/>
        <v>64476997.899702065</v>
      </c>
    </row>
    <row r="78" spans="1:24" x14ac:dyDescent="0.2">
      <c r="A78" t="s">
        <v>13</v>
      </c>
      <c r="B78">
        <v>2026</v>
      </c>
      <c r="C78" t="s">
        <v>7</v>
      </c>
      <c r="D78" s="1">
        <v>46112</v>
      </c>
      <c r="E78" s="14">
        <v>193</v>
      </c>
      <c r="F78" t="s">
        <v>8</v>
      </c>
      <c r="G78" t="str">
        <f t="shared" si="25"/>
        <v/>
      </c>
      <c r="H78" t="str">
        <f t="shared" si="13"/>
        <v>ALK-2026-Q1</v>
      </c>
      <c r="I78" s="3">
        <f>_xlfn.XLOOKUP(H78,prices!A:A,prices!F:F,"no match")</f>
        <v>48.21</v>
      </c>
      <c r="J78">
        <f>_xlfn.XLOOKUP(A78,current!$A:$A,current!$B:$B,"no match")</f>
        <v>42.04</v>
      </c>
      <c r="K78">
        <f t="shared" si="14"/>
        <v>4003318.8135241652</v>
      </c>
      <c r="L78">
        <f t="shared" si="15"/>
        <v>168299522.92055589</v>
      </c>
      <c r="M78">
        <f t="shared" si="16"/>
        <v>8899616</v>
      </c>
      <c r="N78" t="str">
        <f t="shared" si="17"/>
        <v>SPY-2026-Q1</v>
      </c>
      <c r="O78">
        <f>_xlfn.XLOOKUP(N78,prices!$A:$A,prices!$F:$F,"no match")</f>
        <v>676.53</v>
      </c>
      <c r="P78">
        <f t="shared" si="18"/>
        <v>285279.29286210518</v>
      </c>
      <c r="Q78">
        <f>IF(P78="","",P78*assumptions!$B$4)</f>
        <v>219719258.5694648</v>
      </c>
      <c r="R78" s="10">
        <f t="shared" ca="1" si="19"/>
        <v>0.44079397672826831</v>
      </c>
      <c r="S78">
        <f ca="1">IF(E78="","",E78*1000000*(1+assumptions!$B$3)^R78)</f>
        <v>196324022.81930399</v>
      </c>
      <c r="T78">
        <f t="shared" si="20"/>
        <v>1</v>
      </c>
      <c r="U78">
        <f t="shared" si="21"/>
        <v>31</v>
      </c>
      <c r="V78">
        <f t="shared" si="22"/>
        <v>70.903225806451616</v>
      </c>
      <c r="W78">
        <f t="shared" si="23"/>
        <v>1470716.154458652</v>
      </c>
      <c r="X78">
        <f t="shared" si="24"/>
        <v>61828907.133441731</v>
      </c>
    </row>
    <row r="79" spans="1:24" x14ac:dyDescent="0.2">
      <c r="A79" t="s">
        <v>13</v>
      </c>
      <c r="B79">
        <v>2026</v>
      </c>
      <c r="C79" t="s">
        <v>9</v>
      </c>
      <c r="D79" s="1">
        <v>46203</v>
      </c>
      <c r="E79" s="14">
        <v>57</v>
      </c>
      <c r="F79" t="s">
        <v>8</v>
      </c>
      <c r="G79" t="str">
        <f t="shared" si="25"/>
        <v/>
      </c>
      <c r="H79" t="str">
        <f t="shared" si="13"/>
        <v>ALK-2026-Q2</v>
      </c>
      <c r="I79" s="3">
        <f>_xlfn.XLOOKUP(H79,prices!A:A,prices!F:F,"no match")</f>
        <v>42.71</v>
      </c>
      <c r="J79">
        <f>_xlfn.XLOOKUP(A79,current!$A:$A,current!$B:$B,"no match")</f>
        <v>42.04</v>
      </c>
      <c r="K79">
        <f t="shared" si="14"/>
        <v>1334582.0650901429</v>
      </c>
      <c r="L79">
        <f t="shared" si="15"/>
        <v>56105830.016389608</v>
      </c>
      <c r="M79">
        <f t="shared" si="16"/>
        <v>2633571</v>
      </c>
      <c r="N79" t="str">
        <f t="shared" si="17"/>
        <v>SPY-2026-Q2</v>
      </c>
      <c r="O79">
        <f>_xlfn.XLOOKUP(N79,prices!$A:$A,prices!$F:$F,"no match")</f>
        <v>723.39</v>
      </c>
      <c r="P79">
        <f t="shared" si="18"/>
        <v>78795.670385269361</v>
      </c>
      <c r="Q79">
        <f>IF(P79="","",P79*assumptions!$B$4)</f>
        <v>60687637.374030612</v>
      </c>
      <c r="R79" s="10">
        <f t="shared" ca="1" si="19"/>
        <v>0.19164955509924708</v>
      </c>
      <c r="S79">
        <f ca="1">IF(E79="","",E79*1000000*(1+assumptions!$B$3)^R79)</f>
        <v>57424769.733146176</v>
      </c>
      <c r="T79">
        <f t="shared" si="20"/>
        <v>1</v>
      </c>
      <c r="U79">
        <f t="shared" si="21"/>
        <v>31</v>
      </c>
      <c r="V79">
        <f t="shared" si="22"/>
        <v>70.903225806451616</v>
      </c>
      <c r="W79">
        <f t="shared" si="23"/>
        <v>1660108.3073390685</v>
      </c>
      <c r="X79">
        <f t="shared" si="24"/>
        <v>69790953.24053444</v>
      </c>
    </row>
    <row r="80" spans="1:24" x14ac:dyDescent="0.2">
      <c r="A80" t="s">
        <v>14</v>
      </c>
      <c r="B80">
        <v>2015</v>
      </c>
      <c r="C80" t="s">
        <v>7</v>
      </c>
      <c r="D80" s="1">
        <v>42094</v>
      </c>
      <c r="E80" s="14">
        <v>425</v>
      </c>
      <c r="F80" t="s">
        <v>8</v>
      </c>
      <c r="G80" t="str">
        <f t="shared" si="25"/>
        <v/>
      </c>
      <c r="H80" t="str">
        <f t="shared" si="13"/>
        <v>DAL-2015-Q1</v>
      </c>
      <c r="I80" s="3">
        <f>_xlfn.XLOOKUP(H80,prices!A:A,prices!F:F,"no match")</f>
        <v>40.33</v>
      </c>
      <c r="J80">
        <f>_xlfn.XLOOKUP(A80,current!$A:$A,current!$B:$B,"no match")</f>
        <v>80.17</v>
      </c>
      <c r="K80">
        <f t="shared" si="14"/>
        <v>10538060.996776594</v>
      </c>
      <c r="L80">
        <f t="shared" si="15"/>
        <v>844836350.11157954</v>
      </c>
      <c r="M80">
        <f t="shared" si="16"/>
        <v>17889950</v>
      </c>
      <c r="N80" t="str">
        <f t="shared" si="17"/>
        <v>SPY-2015-Q1</v>
      </c>
      <c r="O80">
        <f>_xlfn.XLOOKUP(N80,prices!$A:$A,prices!$F:$F,"no match")</f>
        <v>170.57</v>
      </c>
      <c r="P80">
        <f t="shared" si="18"/>
        <v>2491645.6586738583</v>
      </c>
      <c r="Q80">
        <f>IF(P80="","",P80*assumptions!$B$4)</f>
        <v>1919040569.8540189</v>
      </c>
      <c r="R80" s="10">
        <f t="shared" ca="1" si="19"/>
        <v>11.441478439425051</v>
      </c>
      <c r="S80">
        <f ca="1">IF(E80="","",E80*1000000*(1+assumptions!$B$3)^R80)</f>
        <v>662042715.87625825</v>
      </c>
      <c r="T80">
        <f t="shared" si="20"/>
        <v>1</v>
      </c>
      <c r="U80">
        <f t="shared" si="21"/>
        <v>21</v>
      </c>
      <c r="V80">
        <f t="shared" si="22"/>
        <v>496.38095238095241</v>
      </c>
      <c r="W80">
        <f t="shared" si="23"/>
        <v>12307982.950184787</v>
      </c>
      <c r="X80">
        <f t="shared" si="24"/>
        <v>986730993.11631441</v>
      </c>
    </row>
    <row r="81" spans="1:24" x14ac:dyDescent="0.2">
      <c r="A81" t="s">
        <v>14</v>
      </c>
      <c r="B81">
        <v>2015</v>
      </c>
      <c r="C81" t="s">
        <v>9</v>
      </c>
      <c r="D81" s="1">
        <v>42185</v>
      </c>
      <c r="E81" s="14">
        <v>925</v>
      </c>
      <c r="F81" t="s">
        <v>8</v>
      </c>
      <c r="G81" t="str">
        <f t="shared" si="25"/>
        <v/>
      </c>
      <c r="H81" t="str">
        <f t="shared" si="13"/>
        <v>DAL-2015-Q2</v>
      </c>
      <c r="I81" s="3">
        <f>_xlfn.XLOOKUP(H81,prices!A:A,prices!F:F,"no match")</f>
        <v>38.1</v>
      </c>
      <c r="J81">
        <f>_xlfn.XLOOKUP(A81,current!$A:$A,current!$B:$B,"no match")</f>
        <v>80.17</v>
      </c>
      <c r="K81">
        <f t="shared" si="14"/>
        <v>24278215.223097112</v>
      </c>
      <c r="L81">
        <f t="shared" si="15"/>
        <v>1946384514.4356954</v>
      </c>
      <c r="M81">
        <f t="shared" si="16"/>
        <v>39021125</v>
      </c>
      <c r="N81" t="str">
        <f t="shared" si="17"/>
        <v>SPY-2015-Q2</v>
      </c>
      <c r="O81">
        <f>_xlfn.XLOOKUP(N81,prices!$A:$A,prices!$F:$F,"no match")</f>
        <v>174.56</v>
      </c>
      <c r="P81">
        <f t="shared" si="18"/>
        <v>5299037.58020165</v>
      </c>
      <c r="Q81">
        <f>IF(P81="","",P81*assumptions!$B$4)</f>
        <v>4081265753.8955092</v>
      </c>
      <c r="R81" s="10">
        <f t="shared" ca="1" si="19"/>
        <v>11.19233401779603</v>
      </c>
      <c r="S81">
        <f ca="1">IF(E81="","",E81*1000000*(1+assumptions!$B$3)^R81)</f>
        <v>1427075944.5913527</v>
      </c>
      <c r="T81">
        <f t="shared" si="20"/>
        <v>1</v>
      </c>
      <c r="U81">
        <f t="shared" si="21"/>
        <v>21</v>
      </c>
      <c r="V81">
        <f t="shared" si="22"/>
        <v>496.38095238095241</v>
      </c>
      <c r="W81">
        <f t="shared" si="23"/>
        <v>13028371.453568304</v>
      </c>
      <c r="X81">
        <f t="shared" si="24"/>
        <v>1044484539.4325709</v>
      </c>
    </row>
    <row r="82" spans="1:24" x14ac:dyDescent="0.2">
      <c r="A82" t="s">
        <v>14</v>
      </c>
      <c r="B82">
        <v>2015</v>
      </c>
      <c r="C82" t="s">
        <v>10</v>
      </c>
      <c r="D82" s="1">
        <v>42277</v>
      </c>
      <c r="E82" s="14">
        <v>425</v>
      </c>
      <c r="F82" t="s">
        <v>8</v>
      </c>
      <c r="G82" t="str">
        <f t="shared" si="25"/>
        <v/>
      </c>
      <c r="H82" t="str">
        <f t="shared" si="13"/>
        <v>DAL-2015-Q3</v>
      </c>
      <c r="I82" s="3">
        <f>_xlfn.XLOOKUP(H82,prices!A:A,prices!F:F,"no match")</f>
        <v>39.24</v>
      </c>
      <c r="J82">
        <f>_xlfn.XLOOKUP(A82,current!$A:$A,current!$B:$B,"no match")</f>
        <v>80.17</v>
      </c>
      <c r="K82">
        <f t="shared" si="14"/>
        <v>10830784.913353721</v>
      </c>
      <c r="L82">
        <f t="shared" si="15"/>
        <v>868304026.50356781</v>
      </c>
      <c r="M82">
        <f t="shared" si="16"/>
        <v>17967725</v>
      </c>
      <c r="N82" t="str">
        <f t="shared" si="17"/>
        <v>SPY-2015-Q3</v>
      </c>
      <c r="O82">
        <f>_xlfn.XLOOKUP(N82,prices!$A:$A,prices!$F:$F,"no match")</f>
        <v>169.23</v>
      </c>
      <c r="P82">
        <f t="shared" si="18"/>
        <v>2511375.0517047807</v>
      </c>
      <c r="Q82">
        <f>IF(P82="","",P82*assumptions!$B$4)</f>
        <v>1934235951.0725052</v>
      </c>
      <c r="R82" s="10">
        <f t="shared" ca="1" si="19"/>
        <v>10.940451745379876</v>
      </c>
      <c r="S82">
        <f ca="1">IF(E82="","",E82*1000000*(1+assumptions!$B$3)^R82)</f>
        <v>649316577.96048915</v>
      </c>
      <c r="T82">
        <f t="shared" si="20"/>
        <v>1</v>
      </c>
      <c r="U82">
        <f t="shared" si="21"/>
        <v>21</v>
      </c>
      <c r="V82">
        <f t="shared" si="22"/>
        <v>496.38095238095241</v>
      </c>
      <c r="W82">
        <f t="shared" si="23"/>
        <v>12649871.365467696</v>
      </c>
      <c r="X82">
        <f t="shared" si="24"/>
        <v>1014140187.3695452</v>
      </c>
    </row>
    <row r="83" spans="1:24" x14ac:dyDescent="0.2">
      <c r="A83" t="s">
        <v>14</v>
      </c>
      <c r="B83">
        <v>2015</v>
      </c>
      <c r="C83" t="s">
        <v>11</v>
      </c>
      <c r="D83" s="1">
        <v>42369</v>
      </c>
      <c r="E83" s="14">
        <v>425</v>
      </c>
      <c r="F83" t="s">
        <v>8</v>
      </c>
      <c r="G83" t="str">
        <f t="shared" si="25"/>
        <v/>
      </c>
      <c r="H83" t="str">
        <f t="shared" si="13"/>
        <v>DAL-2015-Q4</v>
      </c>
      <c r="I83" s="3">
        <f>_xlfn.XLOOKUP(H83,prices!A:A,prices!F:F,"no match")</f>
        <v>43.33</v>
      </c>
      <c r="J83">
        <f>_xlfn.XLOOKUP(A83,current!$A:$A,current!$B:$B,"no match")</f>
        <v>80.17</v>
      </c>
      <c r="K83">
        <f t="shared" si="14"/>
        <v>9808446.8036002778</v>
      </c>
      <c r="L83">
        <f t="shared" si="15"/>
        <v>786343180.24463427</v>
      </c>
      <c r="M83">
        <f t="shared" si="16"/>
        <v>18006825</v>
      </c>
      <c r="N83" t="str">
        <f t="shared" si="17"/>
        <v>SPY-2015-Q4</v>
      </c>
      <c r="O83">
        <f>_xlfn.XLOOKUP(N83,prices!$A:$A,prices!$F:$F,"no match")</f>
        <v>172.25</v>
      </c>
      <c r="P83">
        <f t="shared" si="18"/>
        <v>2467343.9767779391</v>
      </c>
      <c r="Q83">
        <f>IF(P83="","",P83*assumptions!$B$4)</f>
        <v>1900323657.474601</v>
      </c>
      <c r="R83" s="10">
        <f t="shared" ca="1" si="19"/>
        <v>10.688569472963723</v>
      </c>
      <c r="S83">
        <f ca="1">IF(E83="","",E83*1000000*(1+assumptions!$B$3)^R83)</f>
        <v>643011439.72267675</v>
      </c>
      <c r="T83">
        <f t="shared" si="20"/>
        <v>1</v>
      </c>
      <c r="U83">
        <f t="shared" si="21"/>
        <v>21</v>
      </c>
      <c r="V83">
        <f t="shared" si="22"/>
        <v>496.38095238095241</v>
      </c>
      <c r="W83">
        <f t="shared" si="23"/>
        <v>11455826.272350622</v>
      </c>
      <c r="X83">
        <f t="shared" si="24"/>
        <v>918413592.25434947</v>
      </c>
    </row>
    <row r="84" spans="1:24" x14ac:dyDescent="0.2">
      <c r="A84" t="s">
        <v>14</v>
      </c>
      <c r="B84">
        <v>2016</v>
      </c>
      <c r="C84" t="s">
        <v>7</v>
      </c>
      <c r="D84" s="1">
        <v>42460</v>
      </c>
      <c r="E84" s="14">
        <v>775</v>
      </c>
      <c r="F84" t="s">
        <v>8</v>
      </c>
      <c r="G84" t="str">
        <f t="shared" si="25"/>
        <v/>
      </c>
      <c r="H84" t="str">
        <f t="shared" si="13"/>
        <v>DAL-2016-Q1</v>
      </c>
      <c r="I84" s="3">
        <f>_xlfn.XLOOKUP(H84,prices!A:A,prices!F:F,"no match")</f>
        <v>41.05</v>
      </c>
      <c r="J84">
        <f>_xlfn.XLOOKUP(A84,current!$A:$A,current!$B:$B,"no match")</f>
        <v>80.17</v>
      </c>
      <c r="K84">
        <f t="shared" si="14"/>
        <v>18879415.347137637</v>
      </c>
      <c r="L84">
        <f t="shared" si="15"/>
        <v>1513562728.3800244</v>
      </c>
      <c r="M84">
        <f t="shared" si="16"/>
        <v>32906500</v>
      </c>
      <c r="N84" t="str">
        <f t="shared" si="17"/>
        <v>SPY-2016-Q1</v>
      </c>
      <c r="O84">
        <f>_xlfn.XLOOKUP(N84,prices!$A:$A,prices!$F:$F,"no match")</f>
        <v>164.64</v>
      </c>
      <c r="P84">
        <f t="shared" si="18"/>
        <v>4707240.0388726927</v>
      </c>
      <c r="Q84">
        <f>IF(P84="","",P84*assumptions!$B$4)</f>
        <v>3625469205.5393596</v>
      </c>
      <c r="R84" s="10">
        <f t="shared" ca="1" si="19"/>
        <v>10.439425051334702</v>
      </c>
      <c r="S84">
        <f ca="1">IF(E84="","",E84*1000000*(1+assumptions!$B$3)^R84)</f>
        <v>1161287478.1265547</v>
      </c>
      <c r="T84">
        <f t="shared" si="20"/>
        <v>1</v>
      </c>
      <c r="U84">
        <f t="shared" si="21"/>
        <v>21</v>
      </c>
      <c r="V84">
        <f t="shared" si="22"/>
        <v>496.38095238095241</v>
      </c>
      <c r="W84">
        <f t="shared" si="23"/>
        <v>12092106.026332581</v>
      </c>
      <c r="X84">
        <f t="shared" si="24"/>
        <v>969424140.13108313</v>
      </c>
    </row>
    <row r="85" spans="1:24" x14ac:dyDescent="0.2">
      <c r="A85" t="s">
        <v>14</v>
      </c>
      <c r="B85">
        <v>2016</v>
      </c>
      <c r="C85" t="s">
        <v>9</v>
      </c>
      <c r="D85" s="1">
        <v>42551</v>
      </c>
      <c r="E85" s="14">
        <v>1026</v>
      </c>
      <c r="F85" t="s">
        <v>8</v>
      </c>
      <c r="G85" t="str">
        <f t="shared" si="25"/>
        <v/>
      </c>
      <c r="H85" t="str">
        <f t="shared" si="13"/>
        <v>DAL-2016-Q2</v>
      </c>
      <c r="I85" s="3">
        <f>_xlfn.XLOOKUP(H85,prices!A:A,prices!F:F,"no match")</f>
        <v>37.49</v>
      </c>
      <c r="J85">
        <f>_xlfn.XLOOKUP(A85,current!$A:$A,current!$B:$B,"no match")</f>
        <v>80.17</v>
      </c>
      <c r="K85">
        <f t="shared" si="14"/>
        <v>27367297.946118962</v>
      </c>
      <c r="L85">
        <f t="shared" si="15"/>
        <v>2194036276.3403573</v>
      </c>
      <c r="M85">
        <f t="shared" si="16"/>
        <v>43657326</v>
      </c>
      <c r="N85" t="str">
        <f t="shared" si="17"/>
        <v>SPY-2016-Q2</v>
      </c>
      <c r="O85">
        <f>_xlfn.XLOOKUP(N85,prices!$A:$A,prices!$F:$F,"no match")</f>
        <v>175.97</v>
      </c>
      <c r="P85">
        <f t="shared" si="18"/>
        <v>5830539.2964709895</v>
      </c>
      <c r="Q85">
        <f>IF(P85="","",P85*assumptions!$B$4)</f>
        <v>4490623060.748992</v>
      </c>
      <c r="R85" s="10">
        <f t="shared" ca="1" si="19"/>
        <v>10.190280629705681</v>
      </c>
      <c r="S85">
        <f ca="1">IF(E85="","",E85*1000000*(1+assumptions!$B$3)^R85)</f>
        <v>1522627512.0235343</v>
      </c>
      <c r="T85">
        <f t="shared" si="20"/>
        <v>1</v>
      </c>
      <c r="U85">
        <f t="shared" si="21"/>
        <v>21</v>
      </c>
      <c r="V85">
        <f t="shared" si="22"/>
        <v>496.38095238095241</v>
      </c>
      <c r="W85">
        <f t="shared" si="23"/>
        <v>13240356.158467656</v>
      </c>
      <c r="X85">
        <f t="shared" si="24"/>
        <v>1061479353.224352</v>
      </c>
    </row>
    <row r="86" spans="1:24" x14ac:dyDescent="0.2">
      <c r="A86" t="s">
        <v>14</v>
      </c>
      <c r="B86">
        <v>2016</v>
      </c>
      <c r="C86" t="s">
        <v>10</v>
      </c>
      <c r="D86" s="1">
        <v>42643</v>
      </c>
      <c r="E86" s="14">
        <v>500</v>
      </c>
      <c r="F86" t="s">
        <v>8</v>
      </c>
      <c r="G86" t="str">
        <f t="shared" si="25"/>
        <v/>
      </c>
      <c r="H86" t="str">
        <f t="shared" si="13"/>
        <v>DAL-2016-Q3</v>
      </c>
      <c r="I86" s="3">
        <f>_xlfn.XLOOKUP(H86,prices!A:A,prices!F:F,"no match")</f>
        <v>33.51</v>
      </c>
      <c r="J86">
        <f>_xlfn.XLOOKUP(A86,current!$A:$A,current!$B:$B,"no match")</f>
        <v>80.17</v>
      </c>
      <c r="K86">
        <f t="shared" si="14"/>
        <v>14920919.128618324</v>
      </c>
      <c r="L86">
        <f t="shared" si="15"/>
        <v>1196210086.5413311</v>
      </c>
      <c r="M86">
        <f t="shared" si="16"/>
        <v>21321500</v>
      </c>
      <c r="N86" t="str">
        <f t="shared" si="17"/>
        <v>SPY-2016-Q3</v>
      </c>
      <c r="O86">
        <f>_xlfn.XLOOKUP(N86,prices!$A:$A,prices!$F:$F,"no match")</f>
        <v>184.28</v>
      </c>
      <c r="P86">
        <f t="shared" si="18"/>
        <v>2713262.4267419144</v>
      </c>
      <c r="Q86">
        <f>IF(P86="","",P86*assumptions!$B$4)</f>
        <v>2089727588.4523551</v>
      </c>
      <c r="R86" s="10">
        <f t="shared" ca="1" si="19"/>
        <v>9.9383983572895271</v>
      </c>
      <c r="S86">
        <f ca="1">IF(E86="","",E86*1000000*(1+assumptions!$B$3)^R86)</f>
        <v>734815865.36882901</v>
      </c>
      <c r="T86">
        <f t="shared" si="20"/>
        <v>1</v>
      </c>
      <c r="U86">
        <f t="shared" si="21"/>
        <v>21</v>
      </c>
      <c r="V86">
        <f t="shared" si="22"/>
        <v>496.38095238095241</v>
      </c>
      <c r="W86">
        <f t="shared" si="23"/>
        <v>14812920.094925469</v>
      </c>
      <c r="X86">
        <f t="shared" si="24"/>
        <v>1187551804.0101748</v>
      </c>
    </row>
    <row r="87" spans="1:24" x14ac:dyDescent="0.2">
      <c r="A87" t="s">
        <v>14</v>
      </c>
      <c r="B87">
        <v>2016</v>
      </c>
      <c r="C87" t="s">
        <v>11</v>
      </c>
      <c r="D87" s="1">
        <v>42735</v>
      </c>
      <c r="E87" s="14">
        <v>300</v>
      </c>
      <c r="F87" t="s">
        <v>8</v>
      </c>
      <c r="G87" t="str">
        <f t="shared" si="25"/>
        <v/>
      </c>
      <c r="H87" t="str">
        <f t="shared" si="13"/>
        <v>DAL-2016-Q4</v>
      </c>
      <c r="I87" s="3">
        <f>_xlfn.XLOOKUP(H87,prices!A:A,prices!F:F,"no match")</f>
        <v>40.590000000000003</v>
      </c>
      <c r="J87">
        <f>_xlfn.XLOOKUP(A87,current!$A:$A,current!$B:$B,"no match")</f>
        <v>80.17</v>
      </c>
      <c r="K87">
        <f t="shared" si="14"/>
        <v>7390983.0007390976</v>
      </c>
      <c r="L87">
        <f t="shared" si="15"/>
        <v>592535107.16925347</v>
      </c>
      <c r="M87">
        <f t="shared" si="16"/>
        <v>12820500</v>
      </c>
      <c r="N87" t="str">
        <f t="shared" si="17"/>
        <v>SPY-2016-Q4</v>
      </c>
      <c r="O87">
        <f>_xlfn.XLOOKUP(N87,prices!$A:$A,prices!$F:$F,"no match")</f>
        <v>187.21</v>
      </c>
      <c r="P87">
        <f t="shared" si="18"/>
        <v>1602478.5000801238</v>
      </c>
      <c r="Q87">
        <f>IF(P87="","",P87*assumptions!$B$4)</f>
        <v>1234212915.9767106</v>
      </c>
      <c r="R87" s="10">
        <f t="shared" ca="1" si="19"/>
        <v>9.6865160848733751</v>
      </c>
      <c r="S87">
        <f ca="1">IF(E87="","",E87*1000000*(1+assumptions!$B$3)^R87)</f>
        <v>436608295.76166469</v>
      </c>
      <c r="T87">
        <f t="shared" si="20"/>
        <v>1</v>
      </c>
      <c r="U87">
        <f t="shared" si="21"/>
        <v>21</v>
      </c>
      <c r="V87">
        <f t="shared" si="22"/>
        <v>496.38095238095241</v>
      </c>
      <c r="W87">
        <f t="shared" si="23"/>
        <v>12229143.936461009</v>
      </c>
      <c r="X87">
        <f t="shared" si="24"/>
        <v>980410469.38607907</v>
      </c>
    </row>
    <row r="88" spans="1:24" hidden="1" x14ac:dyDescent="0.2">
      <c r="A88" t="s">
        <v>14</v>
      </c>
      <c r="B88">
        <v>2017</v>
      </c>
      <c r="C88" t="s">
        <v>7</v>
      </c>
      <c r="D88" s="1">
        <v>42825</v>
      </c>
      <c r="E88" s="14">
        <v>200</v>
      </c>
      <c r="F88" t="s">
        <v>8</v>
      </c>
      <c r="G88" t="str">
        <f t="shared" si="25"/>
        <v/>
      </c>
      <c r="H88" t="str">
        <f t="shared" si="13"/>
        <v>DAL-2017-Q1</v>
      </c>
      <c r="I88" s="3">
        <f>_xlfn.XLOOKUP(H88,prices!A:A,prices!F:F,"no match")</f>
        <v>43.61</v>
      </c>
      <c r="J88">
        <f>_xlfn.XLOOKUP(A88,current!$A:$A,current!$B:$B,"no match")</f>
        <v>80.17</v>
      </c>
      <c r="K88">
        <f t="shared" si="14"/>
        <v>4586104.1045631738</v>
      </c>
      <c r="L88">
        <f t="shared" si="15"/>
        <v>367667966.06282967</v>
      </c>
      <c r="M88">
        <f t="shared" si="16"/>
        <v>8565000</v>
      </c>
      <c r="N88" t="str">
        <f t="shared" si="17"/>
        <v>SPY-2017-Q1</v>
      </c>
      <c r="O88">
        <f>_xlfn.XLOOKUP(N88,prices!$A:$A,prices!$F:$F,"no match")</f>
        <v>200.26</v>
      </c>
      <c r="P88">
        <f t="shared" si="18"/>
        <v>998701.68780585239</v>
      </c>
      <c r="Q88">
        <f>IF(P88="","",P88*assumptions!$B$4)</f>
        <v>769190052.93118954</v>
      </c>
      <c r="R88" s="10">
        <f t="shared" ca="1" si="19"/>
        <v>9.4401095140314855</v>
      </c>
      <c r="S88">
        <f ca="1">IF(E88="","",E88*1000000*(1+assumptions!$B$3)^R88)</f>
        <v>288306914.60116988</v>
      </c>
      <c r="T88">
        <f t="shared" si="20"/>
        <v>1</v>
      </c>
      <c r="U88">
        <f t="shared" si="21"/>
        <v>21</v>
      </c>
      <c r="V88">
        <f t="shared" si="22"/>
        <v>496.38095238095241</v>
      </c>
      <c r="W88">
        <f t="shared" si="23"/>
        <v>11382273.615706315</v>
      </c>
      <c r="X88">
        <f t="shared" si="24"/>
        <v>912516875.77117527</v>
      </c>
    </row>
    <row r="89" spans="1:24" hidden="1" x14ac:dyDescent="0.2">
      <c r="A89" t="s">
        <v>14</v>
      </c>
      <c r="B89">
        <v>2017</v>
      </c>
      <c r="C89" t="s">
        <v>9</v>
      </c>
      <c r="D89" s="1">
        <v>42916</v>
      </c>
      <c r="E89" s="14">
        <v>600</v>
      </c>
      <c r="F89" t="s">
        <v>8</v>
      </c>
      <c r="G89" t="str">
        <f t="shared" si="25"/>
        <v/>
      </c>
      <c r="H89" t="str">
        <f t="shared" si="13"/>
        <v>DAL-2017-Q2</v>
      </c>
      <c r="I89" s="3">
        <f>_xlfn.XLOOKUP(H89,prices!A:A,prices!F:F,"no match")</f>
        <v>43.97</v>
      </c>
      <c r="J89">
        <f>_xlfn.XLOOKUP(A89,current!$A:$A,current!$B:$B,"no match")</f>
        <v>80.17</v>
      </c>
      <c r="K89">
        <f t="shared" si="14"/>
        <v>13645667.500568571</v>
      </c>
      <c r="L89">
        <f t="shared" si="15"/>
        <v>1093973163.5205824</v>
      </c>
      <c r="M89">
        <f t="shared" si="16"/>
        <v>25749600</v>
      </c>
      <c r="N89" t="str">
        <f t="shared" si="17"/>
        <v>SPY-2017-Q2</v>
      </c>
      <c r="O89">
        <f>_xlfn.XLOOKUP(N89,prices!$A:$A,prices!$F:$F,"no match")</f>
        <v>207.45</v>
      </c>
      <c r="P89">
        <f t="shared" si="18"/>
        <v>2892263.1959508318</v>
      </c>
      <c r="Q89">
        <f>IF(P89="","",P89*assumptions!$B$4)</f>
        <v>2227592190.8893714</v>
      </c>
      <c r="R89" s="10">
        <f t="shared" ca="1" si="19"/>
        <v>9.1909650924024646</v>
      </c>
      <c r="S89">
        <f ca="1">IF(E89="","",E89*1000000*(1+assumptions!$B$3)^R89)</f>
        <v>856612848.90128195</v>
      </c>
      <c r="T89">
        <f t="shared" si="20"/>
        <v>1</v>
      </c>
      <c r="U89">
        <f t="shared" si="21"/>
        <v>21</v>
      </c>
      <c r="V89">
        <f t="shared" si="22"/>
        <v>496.38095238095241</v>
      </c>
      <c r="W89">
        <f t="shared" si="23"/>
        <v>11289082.383010061</v>
      </c>
      <c r="X89">
        <f t="shared" si="24"/>
        <v>905045734.6459167</v>
      </c>
    </row>
    <row r="90" spans="1:24" hidden="1" x14ac:dyDescent="0.2">
      <c r="A90" t="s">
        <v>14</v>
      </c>
      <c r="B90">
        <v>2017</v>
      </c>
      <c r="C90" t="s">
        <v>10</v>
      </c>
      <c r="D90" s="1">
        <v>43008</v>
      </c>
      <c r="E90" s="14">
        <v>550</v>
      </c>
      <c r="F90" t="s">
        <v>8</v>
      </c>
      <c r="G90" t="str">
        <f t="shared" si="25"/>
        <v/>
      </c>
      <c r="H90" t="str">
        <f t="shared" si="13"/>
        <v>DAL-2017-Q3</v>
      </c>
      <c r="I90" s="3">
        <f>_xlfn.XLOOKUP(H90,prices!A:A,prices!F:F,"no match")</f>
        <v>44.94</v>
      </c>
      <c r="J90">
        <f>_xlfn.XLOOKUP(A90,current!$A:$A,current!$B:$B,"no match")</f>
        <v>80.17</v>
      </c>
      <c r="K90">
        <f t="shared" si="14"/>
        <v>12238540.275923453</v>
      </c>
      <c r="L90">
        <f t="shared" si="15"/>
        <v>981163773.92078328</v>
      </c>
      <c r="M90">
        <f t="shared" si="16"/>
        <v>23654400</v>
      </c>
      <c r="N90" t="str">
        <f t="shared" si="17"/>
        <v>SPY-2017-Q3</v>
      </c>
      <c r="O90">
        <f>_xlfn.XLOOKUP(N90,prices!$A:$A,prices!$F:$F,"no match")</f>
        <v>214.46</v>
      </c>
      <c r="P90">
        <f t="shared" si="18"/>
        <v>2564580.8076098105</v>
      </c>
      <c r="Q90">
        <f>IF(P90="","",P90*assumptions!$B$4)</f>
        <v>1975214492.2130001</v>
      </c>
      <c r="R90" s="10">
        <f t="shared" ca="1" si="19"/>
        <v>8.9390828199863108</v>
      </c>
      <c r="S90">
        <f ca="1">IF(E90="","",E90*1000000*(1+assumptions!$B$3)^R90)</f>
        <v>777603544.95307696</v>
      </c>
      <c r="T90">
        <f t="shared" si="20"/>
        <v>1</v>
      </c>
      <c r="U90">
        <f t="shared" si="21"/>
        <v>21</v>
      </c>
      <c r="V90">
        <f t="shared" si="22"/>
        <v>496.38095238095241</v>
      </c>
      <c r="W90">
        <f t="shared" si="23"/>
        <v>11045415.050755506</v>
      </c>
      <c r="X90">
        <f t="shared" si="24"/>
        <v>885510924.61906898</v>
      </c>
    </row>
    <row r="91" spans="1:24" hidden="1" x14ac:dyDescent="0.2">
      <c r="A91" t="s">
        <v>14</v>
      </c>
      <c r="B91">
        <v>2017</v>
      </c>
      <c r="C91" t="s">
        <v>11</v>
      </c>
      <c r="D91" s="1">
        <v>43100</v>
      </c>
      <c r="E91" s="14">
        <v>327</v>
      </c>
      <c r="F91" t="s">
        <v>8</v>
      </c>
      <c r="G91" t="str">
        <f t="shared" si="25"/>
        <v/>
      </c>
      <c r="H91" t="str">
        <f t="shared" si="13"/>
        <v>DAL-2017-Q4</v>
      </c>
      <c r="I91" s="3">
        <f>_xlfn.XLOOKUP(H91,prices!A:A,prices!F:F,"no match")</f>
        <v>47.41</v>
      </c>
      <c r="J91">
        <f>_xlfn.XLOOKUP(A91,current!$A:$A,current!$B:$B,"no match")</f>
        <v>80.17</v>
      </c>
      <c r="K91">
        <f t="shared" si="14"/>
        <v>6897279.0550516769</v>
      </c>
      <c r="L91">
        <f t="shared" si="15"/>
        <v>552954861.84349298</v>
      </c>
      <c r="M91">
        <f t="shared" si="16"/>
        <v>14093700</v>
      </c>
      <c r="N91" t="str">
        <f t="shared" si="17"/>
        <v>SPY-2017-Q4</v>
      </c>
      <c r="O91">
        <f>_xlfn.XLOOKUP(N91,prices!$A:$A,prices!$F:$F,"no match")</f>
        <v>227.33</v>
      </c>
      <c r="P91">
        <f t="shared" si="18"/>
        <v>1438437.5137465359</v>
      </c>
      <c r="Q91">
        <f>IF(P91="","",P91*assumptions!$B$4)</f>
        <v>1107870188.7124445</v>
      </c>
      <c r="R91" s="10">
        <f t="shared" ca="1" si="19"/>
        <v>8.687200547570157</v>
      </c>
      <c r="S91">
        <f ca="1">IF(E91="","",E91*1000000*(1+assumptions!$B$3)^R91)</f>
        <v>457831324.26845413</v>
      </c>
      <c r="T91">
        <f t="shared" si="20"/>
        <v>1</v>
      </c>
      <c r="U91">
        <f t="shared" si="21"/>
        <v>21</v>
      </c>
      <c r="V91">
        <f t="shared" si="22"/>
        <v>496.38095238095241</v>
      </c>
      <c r="W91">
        <f t="shared" si="23"/>
        <v>10469963.138176598</v>
      </c>
      <c r="X91">
        <f t="shared" si="24"/>
        <v>839376944.7876178</v>
      </c>
    </row>
    <row r="92" spans="1:24" x14ac:dyDescent="0.2">
      <c r="A92" t="s">
        <v>14</v>
      </c>
      <c r="B92">
        <v>2018</v>
      </c>
      <c r="C92" t="s">
        <v>7</v>
      </c>
      <c r="D92" s="1">
        <v>43190</v>
      </c>
      <c r="E92" s="14">
        <v>325</v>
      </c>
      <c r="F92" t="s">
        <v>8</v>
      </c>
      <c r="G92" t="str">
        <f t="shared" si="25"/>
        <v/>
      </c>
      <c r="H92" t="str">
        <f t="shared" si="13"/>
        <v>DAL-2018-Q1</v>
      </c>
      <c r="I92" s="3">
        <f>_xlfn.XLOOKUP(H92,prices!A:A,prices!F:F,"no match")</f>
        <v>50.35</v>
      </c>
      <c r="J92">
        <f>_xlfn.XLOOKUP(A92,current!$A:$A,current!$B:$B,"no match")</f>
        <v>80.17</v>
      </c>
      <c r="K92">
        <f t="shared" si="14"/>
        <v>6454816.2859980138</v>
      </c>
      <c r="L92">
        <f t="shared" si="15"/>
        <v>517482621.64846081</v>
      </c>
      <c r="M92">
        <f t="shared" si="16"/>
        <v>14036750</v>
      </c>
      <c r="N92" t="str">
        <f t="shared" si="17"/>
        <v>SPY-2018-Q1</v>
      </c>
      <c r="O92">
        <f>_xlfn.XLOOKUP(N92,prices!$A:$A,prices!$F:$F,"no match")</f>
        <v>239.76</v>
      </c>
      <c r="P92">
        <f t="shared" si="18"/>
        <v>1355522.1888555223</v>
      </c>
      <c r="Q92">
        <f>IF(P92="","",P92*assumptions!$B$4)</f>
        <v>1044009634.6346349</v>
      </c>
      <c r="R92" s="10">
        <f t="shared" ca="1" si="19"/>
        <v>8.4407939767282691</v>
      </c>
      <c r="S92">
        <f ca="1">IF(E92="","",E92*1000000*(1+assumptions!$B$3)^R92)</f>
        <v>450708185.75161266</v>
      </c>
      <c r="T92">
        <f t="shared" si="20"/>
        <v>1</v>
      </c>
      <c r="U92">
        <f t="shared" si="21"/>
        <v>21</v>
      </c>
      <c r="V92">
        <f t="shared" si="22"/>
        <v>496.38095238095241</v>
      </c>
      <c r="W92">
        <f t="shared" si="23"/>
        <v>9858608.786116235</v>
      </c>
      <c r="X92">
        <f t="shared" si="24"/>
        <v>790364666.38293862</v>
      </c>
    </row>
    <row r="93" spans="1:24" x14ac:dyDescent="0.2">
      <c r="A93" t="s">
        <v>14</v>
      </c>
      <c r="B93">
        <v>2018</v>
      </c>
      <c r="C93" t="s">
        <v>9</v>
      </c>
      <c r="D93" s="1">
        <v>43281</v>
      </c>
      <c r="E93" s="14">
        <v>600</v>
      </c>
      <c r="F93" t="s">
        <v>8</v>
      </c>
      <c r="G93" t="str">
        <f t="shared" si="25"/>
        <v/>
      </c>
      <c r="H93" t="str">
        <f t="shared" si="13"/>
        <v>DAL-2018-Q2</v>
      </c>
      <c r="I93" s="3">
        <f>_xlfn.XLOOKUP(H93,prices!A:A,prices!F:F,"no match")</f>
        <v>49.01</v>
      </c>
      <c r="J93">
        <f>_xlfn.XLOOKUP(A93,current!$A:$A,current!$B:$B,"no match")</f>
        <v>80.17</v>
      </c>
      <c r="K93">
        <f t="shared" si="14"/>
        <v>12242399.510304021</v>
      </c>
      <c r="L93">
        <f t="shared" si="15"/>
        <v>981473168.74107337</v>
      </c>
      <c r="M93">
        <f t="shared" si="16"/>
        <v>25968600</v>
      </c>
      <c r="N93" t="str">
        <f t="shared" si="17"/>
        <v>SPY-2018-Q2</v>
      </c>
      <c r="O93">
        <f>_xlfn.XLOOKUP(N93,prices!$A:$A,prices!$F:$F,"no match")</f>
        <v>238.21</v>
      </c>
      <c r="P93">
        <f t="shared" si="18"/>
        <v>2518785.9451744258</v>
      </c>
      <c r="Q93">
        <f>IF(P93="","",P93*assumptions!$B$4)</f>
        <v>1939943747.1138911</v>
      </c>
      <c r="R93" s="10">
        <f t="shared" ca="1" si="19"/>
        <v>8.1916495550992465</v>
      </c>
      <c r="S93">
        <f ca="1">IF(E93="","",E93*1000000*(1+assumptions!$B$3)^R93)</f>
        <v>824084235.80641532</v>
      </c>
      <c r="T93">
        <f t="shared" si="20"/>
        <v>1</v>
      </c>
      <c r="U93">
        <f t="shared" si="21"/>
        <v>21</v>
      </c>
      <c r="V93">
        <f t="shared" si="22"/>
        <v>496.38095238095241</v>
      </c>
      <c r="W93">
        <f t="shared" si="23"/>
        <v>10128156.547254691</v>
      </c>
      <c r="X93">
        <f t="shared" si="24"/>
        <v>811974310.39340854</v>
      </c>
    </row>
    <row r="94" spans="1:24" x14ac:dyDescent="0.2">
      <c r="A94" t="s">
        <v>14</v>
      </c>
      <c r="B94">
        <v>2018</v>
      </c>
      <c r="C94" t="s">
        <v>10</v>
      </c>
      <c r="D94" s="1">
        <v>43373</v>
      </c>
      <c r="E94" s="14">
        <v>325</v>
      </c>
      <c r="F94" t="s">
        <v>8</v>
      </c>
      <c r="G94" t="str">
        <f t="shared" si="25"/>
        <v/>
      </c>
      <c r="H94" t="str">
        <f t="shared" si="13"/>
        <v>DAL-2018-Q3</v>
      </c>
      <c r="I94" s="3">
        <f>_xlfn.XLOOKUP(H94,prices!A:A,prices!F:F,"no match")</f>
        <v>50.99</v>
      </c>
      <c r="J94">
        <f>_xlfn.XLOOKUP(A94,current!$A:$A,current!$B:$B,"no match")</f>
        <v>80.17</v>
      </c>
      <c r="K94">
        <f t="shared" si="14"/>
        <v>6373798.7840753086</v>
      </c>
      <c r="L94">
        <f t="shared" si="15"/>
        <v>510987448.51931751</v>
      </c>
      <c r="M94">
        <f t="shared" si="16"/>
        <v>14096225</v>
      </c>
      <c r="N94" t="str">
        <f t="shared" si="17"/>
        <v>SPY-2018-Q3</v>
      </c>
      <c r="O94">
        <f>_xlfn.XLOOKUP(N94,prices!$A:$A,prices!$F:$F,"no match")</f>
        <v>252.23</v>
      </c>
      <c r="P94">
        <f t="shared" si="18"/>
        <v>1288506.5218253182</v>
      </c>
      <c r="Q94">
        <f>IF(P94="","",P94*assumptions!$B$4)</f>
        <v>992394838.04464197</v>
      </c>
      <c r="R94" s="10">
        <f t="shared" ca="1" si="19"/>
        <v>7.9397672826830936</v>
      </c>
      <c r="S94">
        <f ca="1">IF(E94="","",E94*1000000*(1+assumptions!$B$3)^R94)</f>
        <v>442044432.80321044</v>
      </c>
      <c r="T94">
        <f t="shared" si="20"/>
        <v>1</v>
      </c>
      <c r="U94">
        <f t="shared" si="21"/>
        <v>21</v>
      </c>
      <c r="V94">
        <f t="shared" si="22"/>
        <v>496.38095238095241</v>
      </c>
      <c r="W94">
        <f t="shared" si="23"/>
        <v>9734868.6483811028</v>
      </c>
      <c r="X94">
        <f t="shared" si="24"/>
        <v>780444419.54071307</v>
      </c>
    </row>
    <row r="95" spans="1:24" x14ac:dyDescent="0.2">
      <c r="A95" t="s">
        <v>14</v>
      </c>
      <c r="B95">
        <v>2018</v>
      </c>
      <c r="C95" t="s">
        <v>11</v>
      </c>
      <c r="D95" s="1">
        <v>43465</v>
      </c>
      <c r="E95" s="14">
        <v>325</v>
      </c>
      <c r="F95" t="s">
        <v>8</v>
      </c>
      <c r="G95" t="str">
        <f t="shared" si="25"/>
        <v/>
      </c>
      <c r="H95" t="str">
        <f t="shared" si="13"/>
        <v>DAL-2018-Q4</v>
      </c>
      <c r="I95" s="3">
        <f>_xlfn.XLOOKUP(H95,prices!A:A,prices!F:F,"no match")</f>
        <v>50.69</v>
      </c>
      <c r="J95">
        <f>_xlfn.XLOOKUP(A95,current!$A:$A,current!$B:$B,"no match")</f>
        <v>80.17</v>
      </c>
      <c r="K95">
        <f t="shared" si="14"/>
        <v>6411521.010061156</v>
      </c>
      <c r="L95">
        <f t="shared" si="15"/>
        <v>514011639.37660289</v>
      </c>
      <c r="M95">
        <f t="shared" si="16"/>
        <v>14126125</v>
      </c>
      <c r="N95" t="str">
        <f t="shared" si="17"/>
        <v>SPY-2018-Q4</v>
      </c>
      <c r="O95">
        <f>_xlfn.XLOOKUP(N95,prices!$A:$A,prices!$F:$F,"no match")</f>
        <v>239.95</v>
      </c>
      <c r="P95">
        <f t="shared" si="18"/>
        <v>1354448.8435090645</v>
      </c>
      <c r="Q95">
        <f>IF(P95="","",P95*assumptions!$B$4)</f>
        <v>1043182954.7822465</v>
      </c>
      <c r="R95" s="10">
        <f t="shared" ca="1" si="19"/>
        <v>7.6878850102669407</v>
      </c>
      <c r="S95">
        <f ca="1">IF(E95="","",E95*1000000*(1+assumptions!$B$3)^R95)</f>
        <v>437751994.64487165</v>
      </c>
      <c r="T95">
        <f t="shared" si="20"/>
        <v>1</v>
      </c>
      <c r="U95">
        <f t="shared" si="21"/>
        <v>21</v>
      </c>
      <c r="V95">
        <f t="shared" si="22"/>
        <v>496.38095238095241</v>
      </c>
      <c r="W95">
        <f t="shared" si="23"/>
        <v>9792482.7851835154</v>
      </c>
      <c r="X95">
        <f t="shared" si="24"/>
        <v>785063344.88816249</v>
      </c>
    </row>
    <row r="96" spans="1:24" x14ac:dyDescent="0.2">
      <c r="A96" t="s">
        <v>14</v>
      </c>
      <c r="B96">
        <v>2019</v>
      </c>
      <c r="C96" t="s">
        <v>7</v>
      </c>
      <c r="D96" s="1">
        <v>43555</v>
      </c>
      <c r="E96" s="14">
        <v>1325</v>
      </c>
      <c r="F96" t="s">
        <v>8</v>
      </c>
      <c r="G96" t="str">
        <f t="shared" si="25"/>
        <v/>
      </c>
      <c r="H96" t="str">
        <f t="shared" si="13"/>
        <v>DAL-2019-Q1</v>
      </c>
      <c r="I96" s="3">
        <f>_xlfn.XLOOKUP(H96,prices!A:A,prices!F:F,"no match")</f>
        <v>46.41</v>
      </c>
      <c r="J96">
        <f>_xlfn.XLOOKUP(A96,current!$A:$A,current!$B:$B,"no match")</f>
        <v>80.17</v>
      </c>
      <c r="K96">
        <f t="shared" si="14"/>
        <v>28549881.491057962</v>
      </c>
      <c r="L96">
        <f t="shared" si="15"/>
        <v>2288843999.1381168</v>
      </c>
      <c r="M96">
        <f t="shared" si="16"/>
        <v>57710375</v>
      </c>
      <c r="N96" t="str">
        <f t="shared" si="17"/>
        <v>SPY-2019-Q1</v>
      </c>
      <c r="O96">
        <f>_xlfn.XLOOKUP(N96,prices!$A:$A,prices!$F:$F,"no match")</f>
        <v>243.24</v>
      </c>
      <c r="P96">
        <f t="shared" si="18"/>
        <v>5447294.8528202595</v>
      </c>
      <c r="Q96">
        <f>IF(P96="","",P96*assumptions!$B$4)</f>
        <v>4195452022.6936359</v>
      </c>
      <c r="R96" s="10">
        <f t="shared" ca="1" si="19"/>
        <v>7.4414784394250511</v>
      </c>
      <c r="S96">
        <f ca="1">IF(E96="","",E96*1000000*(1+assumptions!$B$3)^R96)</f>
        <v>1767726144.544415</v>
      </c>
      <c r="T96">
        <f t="shared" si="20"/>
        <v>1</v>
      </c>
      <c r="U96">
        <f t="shared" si="21"/>
        <v>21</v>
      </c>
      <c r="V96">
        <f t="shared" si="22"/>
        <v>496.38095238095241</v>
      </c>
      <c r="W96">
        <f t="shared" si="23"/>
        <v>10695560.27539221</v>
      </c>
      <c r="X96">
        <f t="shared" si="24"/>
        <v>857463067.27819347</v>
      </c>
    </row>
    <row r="97" spans="1:24" x14ac:dyDescent="0.2">
      <c r="A97" t="s">
        <v>14</v>
      </c>
      <c r="B97">
        <v>2019</v>
      </c>
      <c r="C97" t="s">
        <v>9</v>
      </c>
      <c r="D97" s="1">
        <v>43646</v>
      </c>
      <c r="E97" s="14">
        <v>268</v>
      </c>
      <c r="F97" t="s">
        <v>8</v>
      </c>
      <c r="G97" t="str">
        <f t="shared" si="25"/>
        <v/>
      </c>
      <c r="H97" t="str">
        <f t="shared" si="13"/>
        <v>DAL-2019-Q2</v>
      </c>
      <c r="I97" s="3">
        <f>_xlfn.XLOOKUP(H97,prices!A:A,prices!F:F,"no match")</f>
        <v>52.87</v>
      </c>
      <c r="J97">
        <f>_xlfn.XLOOKUP(A97,current!$A:$A,current!$B:$B,"no match")</f>
        <v>80.17</v>
      </c>
      <c r="K97">
        <f t="shared" si="14"/>
        <v>5069037.261206734</v>
      </c>
      <c r="L97">
        <f t="shared" si="15"/>
        <v>406384717.23094386</v>
      </c>
      <c r="M97">
        <f t="shared" si="16"/>
        <v>11697128</v>
      </c>
      <c r="N97" t="str">
        <f t="shared" si="17"/>
        <v>SPY-2019-Q2</v>
      </c>
      <c r="O97">
        <f>_xlfn.XLOOKUP(N97,prices!$A:$A,prices!$F:$F,"no match")</f>
        <v>258.86</v>
      </c>
      <c r="P97">
        <f t="shared" si="18"/>
        <v>1035308.6610523062</v>
      </c>
      <c r="Q97">
        <f>IF(P97="","",P97*assumptions!$B$4)</f>
        <v>797384377.6558758</v>
      </c>
      <c r="R97" s="10">
        <f t="shared" ca="1" si="19"/>
        <v>7.1923340177960302</v>
      </c>
      <c r="S97">
        <f ca="1">IF(E97="","",E97*1000000*(1+assumptions!$B$3)^R97)</f>
        <v>354113245.86575067</v>
      </c>
      <c r="T97">
        <f t="shared" si="20"/>
        <v>1</v>
      </c>
      <c r="U97">
        <f t="shared" si="21"/>
        <v>21</v>
      </c>
      <c r="V97">
        <f t="shared" si="22"/>
        <v>496.38095238095241</v>
      </c>
      <c r="W97">
        <f t="shared" si="23"/>
        <v>9388707.2513893023</v>
      </c>
      <c r="X97">
        <f t="shared" si="24"/>
        <v>752692660.34388041</v>
      </c>
    </row>
    <row r="98" spans="1:24" x14ac:dyDescent="0.2">
      <c r="A98" t="s">
        <v>14</v>
      </c>
      <c r="B98">
        <v>2019</v>
      </c>
      <c r="C98" t="s">
        <v>10</v>
      </c>
      <c r="D98" s="1">
        <v>43738</v>
      </c>
      <c r="E98" s="14">
        <v>209</v>
      </c>
      <c r="F98" t="s">
        <v>8</v>
      </c>
      <c r="G98" t="str">
        <f t="shared" si="25"/>
        <v/>
      </c>
      <c r="H98" t="str">
        <f t="shared" si="13"/>
        <v>DAL-2019-Q3</v>
      </c>
      <c r="I98" s="3">
        <f>_xlfn.XLOOKUP(H98,prices!A:A,prices!F:F,"no match")</f>
        <v>56.27</v>
      </c>
      <c r="J98">
        <f>_xlfn.XLOOKUP(A98,current!$A:$A,current!$B:$B,"no match")</f>
        <v>80.17</v>
      </c>
      <c r="K98">
        <f t="shared" si="14"/>
        <v>3714234.9386884663</v>
      </c>
      <c r="L98">
        <f t="shared" si="15"/>
        <v>297770215.03465438</v>
      </c>
      <c r="M98">
        <f t="shared" si="16"/>
        <v>9141242</v>
      </c>
      <c r="N98" t="str">
        <f t="shared" si="17"/>
        <v>SPY-2019-Q3</v>
      </c>
      <c r="O98">
        <f>_xlfn.XLOOKUP(N98,prices!$A:$A,prices!$F:$F,"no match")</f>
        <v>266.92</v>
      </c>
      <c r="P98">
        <f t="shared" si="18"/>
        <v>783006.1441630451</v>
      </c>
      <c r="Q98">
        <f>IF(P98="","",P98*assumptions!$B$4)</f>
        <v>603063502.17293572</v>
      </c>
      <c r="R98" s="10">
        <f t="shared" ca="1" si="19"/>
        <v>6.9404517453798764</v>
      </c>
      <c r="S98">
        <f ca="1">IF(E98="","",E98*1000000*(1+assumptions!$B$3)^R98)</f>
        <v>273473892.70469439</v>
      </c>
      <c r="T98">
        <f t="shared" si="20"/>
        <v>1</v>
      </c>
      <c r="U98">
        <f t="shared" si="21"/>
        <v>21</v>
      </c>
      <c r="V98">
        <f t="shared" si="22"/>
        <v>496.38095238095241</v>
      </c>
      <c r="W98">
        <f t="shared" si="23"/>
        <v>8821413.7618793733</v>
      </c>
      <c r="X98">
        <f t="shared" si="24"/>
        <v>707212741.28986943</v>
      </c>
    </row>
    <row r="99" spans="1:24" x14ac:dyDescent="0.2">
      <c r="A99" t="s">
        <v>14</v>
      </c>
      <c r="B99">
        <v>2019</v>
      </c>
      <c r="C99" t="s">
        <v>11</v>
      </c>
      <c r="D99" s="1">
        <v>43830</v>
      </c>
      <c r="E99" s="14">
        <v>225</v>
      </c>
      <c r="F99" t="s">
        <v>8</v>
      </c>
      <c r="G99" t="str">
        <f t="shared" si="25"/>
        <v/>
      </c>
      <c r="H99" t="str">
        <f t="shared" si="13"/>
        <v>DAL-2019-Q4</v>
      </c>
      <c r="I99" s="3">
        <f>_xlfn.XLOOKUP(H99,prices!A:A,prices!F:F,"no match")</f>
        <v>53.67</v>
      </c>
      <c r="J99">
        <f>_xlfn.XLOOKUP(A99,current!$A:$A,current!$B:$B,"no match")</f>
        <v>80.17</v>
      </c>
      <c r="K99">
        <f t="shared" si="14"/>
        <v>4192286.1934041362</v>
      </c>
      <c r="L99">
        <f t="shared" si="15"/>
        <v>336095584.12520963</v>
      </c>
      <c r="M99">
        <f t="shared" si="16"/>
        <v>9861750</v>
      </c>
      <c r="N99" t="str">
        <f t="shared" si="17"/>
        <v>SPY-2019-Q4</v>
      </c>
      <c r="O99">
        <f>_xlfn.XLOOKUP(N99,prices!$A:$A,prices!$F:$F,"no match")</f>
        <v>279.45999999999998</v>
      </c>
      <c r="P99">
        <f t="shared" si="18"/>
        <v>805124.16803835973</v>
      </c>
      <c r="Q99">
        <f>IF(P99="","",P99*assumptions!$B$4)</f>
        <v>620098582.98146427</v>
      </c>
      <c r="R99" s="10">
        <f t="shared" ca="1" si="19"/>
        <v>6.6885694729637235</v>
      </c>
      <c r="S99">
        <f ca="1">IF(E99="","",E99*1000000*(1+assumptions!$B$3)^R99)</f>
        <v>291550850.62695074</v>
      </c>
      <c r="T99">
        <f t="shared" si="20"/>
        <v>1</v>
      </c>
      <c r="U99">
        <f t="shared" si="21"/>
        <v>21</v>
      </c>
      <c r="V99">
        <f t="shared" si="22"/>
        <v>496.38095238095241</v>
      </c>
      <c r="W99">
        <f t="shared" si="23"/>
        <v>9248760.0592687242</v>
      </c>
      <c r="X99">
        <f t="shared" si="24"/>
        <v>741473093.95157361</v>
      </c>
    </row>
    <row r="100" spans="1:24" x14ac:dyDescent="0.2">
      <c r="A100" t="s">
        <v>14</v>
      </c>
      <c r="B100">
        <v>2020</v>
      </c>
      <c r="C100" t="s">
        <v>7</v>
      </c>
      <c r="D100" s="1">
        <v>43921</v>
      </c>
      <c r="E100" s="14">
        <v>344</v>
      </c>
      <c r="F100" t="s">
        <v>8</v>
      </c>
      <c r="G100" t="str">
        <f t="shared" si="25"/>
        <v/>
      </c>
      <c r="H100" t="str">
        <f t="shared" si="13"/>
        <v>DAL-2020-Q1</v>
      </c>
      <c r="I100" s="3">
        <f>_xlfn.XLOOKUP(H100,prices!A:A,prices!F:F,"no match")</f>
        <v>47.64</v>
      </c>
      <c r="J100">
        <f>_xlfn.XLOOKUP(A100,current!$A:$A,current!$B:$B,"no match")</f>
        <v>80.17</v>
      </c>
      <c r="K100">
        <f t="shared" si="14"/>
        <v>7220822.8379513016</v>
      </c>
      <c r="L100">
        <f t="shared" si="15"/>
        <v>578893366.91855586</v>
      </c>
      <c r="M100">
        <f t="shared" si="16"/>
        <v>15108824</v>
      </c>
      <c r="N100" t="str">
        <f t="shared" si="17"/>
        <v>SPY-2020-Q1</v>
      </c>
      <c r="O100">
        <f>_xlfn.XLOOKUP(N100,prices!$A:$A,prices!$F:$F,"no match")</f>
        <v>278.20999999999998</v>
      </c>
      <c r="P100">
        <f t="shared" si="18"/>
        <v>1236476.0432766615</v>
      </c>
      <c r="Q100">
        <f>IF(P100="","",P100*assumptions!$B$4)</f>
        <v>952321483.77125204</v>
      </c>
      <c r="R100" s="10">
        <f t="shared" ca="1" si="19"/>
        <v>6.4394250513347027</v>
      </c>
      <c r="S100">
        <f ca="1">IF(E100="","",E100*1000000*(1+assumptions!$B$3)^R100)</f>
        <v>441467267.64025187</v>
      </c>
      <c r="T100">
        <f t="shared" si="20"/>
        <v>1</v>
      </c>
      <c r="U100">
        <f t="shared" si="21"/>
        <v>21</v>
      </c>
      <c r="V100">
        <f t="shared" si="22"/>
        <v>496.38095238095241</v>
      </c>
      <c r="W100">
        <f t="shared" si="23"/>
        <v>10419415.457198834</v>
      </c>
      <c r="X100">
        <f t="shared" si="24"/>
        <v>835324537.20363057</v>
      </c>
    </row>
    <row r="101" spans="1:24" x14ac:dyDescent="0.2">
      <c r="A101" t="s">
        <v>14</v>
      </c>
      <c r="B101">
        <v>2020</v>
      </c>
      <c r="C101" t="s">
        <v>9</v>
      </c>
      <c r="D101" s="1">
        <v>44012</v>
      </c>
      <c r="E101" s="14">
        <v>0</v>
      </c>
      <c r="F101" t="s">
        <v>8</v>
      </c>
      <c r="G101" t="str">
        <f t="shared" si="25"/>
        <v/>
      </c>
      <c r="H101" t="str">
        <f t="shared" si="13"/>
        <v>DAL-2020-Q2</v>
      </c>
      <c r="I101" s="3">
        <f>_xlfn.XLOOKUP(H101,prices!A:A,prices!F:F,"no match")</f>
        <v>24.56</v>
      </c>
      <c r="J101">
        <f>_xlfn.XLOOKUP(A101,current!$A:$A,current!$B:$B,"no match")</f>
        <v>80.17</v>
      </c>
      <c r="K101">
        <f t="shared" si="14"/>
        <v>0</v>
      </c>
      <c r="L101">
        <f t="shared" si="15"/>
        <v>0</v>
      </c>
      <c r="M101">
        <f t="shared" si="16"/>
        <v>0</v>
      </c>
      <c r="N101" t="str">
        <f t="shared" si="17"/>
        <v>SPY-2020-Q2</v>
      </c>
      <c r="O101">
        <f>_xlfn.XLOOKUP(N101,prices!$A:$A,prices!$F:$F,"no match")</f>
        <v>268.52999999999997</v>
      </c>
      <c r="P101">
        <f t="shared" si="18"/>
        <v>0</v>
      </c>
      <c r="Q101">
        <f>IF(P101="","",P101*assumptions!$B$4)</f>
        <v>0</v>
      </c>
      <c r="R101" s="10">
        <f t="shared" ca="1" si="19"/>
        <v>6.1902806297056809</v>
      </c>
      <c r="S101">
        <f ca="1">IF(E101="","",E101*1000000*(1+assumptions!$B$3)^R101)</f>
        <v>0</v>
      </c>
      <c r="T101">
        <f t="shared" si="20"/>
        <v>0</v>
      </c>
      <c r="U101">
        <f t="shared" si="21"/>
        <v>21</v>
      </c>
      <c r="V101">
        <f t="shared" si="22"/>
        <v>0</v>
      </c>
      <c r="W101">
        <f t="shared" si="23"/>
        <v>0</v>
      </c>
      <c r="X101">
        <f t="shared" si="24"/>
        <v>0</v>
      </c>
    </row>
    <row r="102" spans="1:24" x14ac:dyDescent="0.2">
      <c r="A102" t="s">
        <v>14</v>
      </c>
      <c r="B102">
        <v>2020</v>
      </c>
      <c r="C102" t="s">
        <v>10</v>
      </c>
      <c r="D102" s="1">
        <v>44104</v>
      </c>
      <c r="E102" s="14">
        <v>0</v>
      </c>
      <c r="F102" t="s">
        <v>8</v>
      </c>
      <c r="G102" t="str">
        <f t="shared" si="25"/>
        <v/>
      </c>
      <c r="H102" t="str">
        <f t="shared" si="13"/>
        <v>DAL-2020-Q3</v>
      </c>
      <c r="I102" s="3">
        <f>_xlfn.XLOOKUP(H102,prices!A:A,prices!F:F,"no match")</f>
        <v>27.83</v>
      </c>
      <c r="J102">
        <f>_xlfn.XLOOKUP(A102,current!$A:$A,current!$B:$B,"no match")</f>
        <v>80.17</v>
      </c>
      <c r="K102">
        <f t="shared" si="14"/>
        <v>0</v>
      </c>
      <c r="L102">
        <f t="shared" si="15"/>
        <v>0</v>
      </c>
      <c r="M102">
        <f t="shared" si="16"/>
        <v>0</v>
      </c>
      <c r="N102" t="str">
        <f t="shared" si="17"/>
        <v>SPY-2020-Q3</v>
      </c>
      <c r="O102">
        <f>_xlfn.XLOOKUP(N102,prices!$A:$A,prices!$F:$F,"no match")</f>
        <v>305.37</v>
      </c>
      <c r="P102">
        <f t="shared" si="18"/>
        <v>0</v>
      </c>
      <c r="Q102">
        <f>IF(P102="","",P102*assumptions!$B$4)</f>
        <v>0</v>
      </c>
      <c r="R102" s="10">
        <f t="shared" ca="1" si="19"/>
        <v>5.938398357289528</v>
      </c>
      <c r="S102">
        <f ca="1">IF(E102="","",E102*1000000*(1+assumptions!$B$3)^R102)</f>
        <v>0</v>
      </c>
      <c r="T102">
        <f t="shared" si="20"/>
        <v>0</v>
      </c>
      <c r="U102">
        <f t="shared" si="21"/>
        <v>21</v>
      </c>
      <c r="V102">
        <f t="shared" si="22"/>
        <v>0</v>
      </c>
      <c r="W102">
        <f t="shared" si="23"/>
        <v>0</v>
      </c>
      <c r="X102">
        <f t="shared" si="24"/>
        <v>0</v>
      </c>
    </row>
    <row r="103" spans="1:24" x14ac:dyDescent="0.2">
      <c r="A103" t="s">
        <v>14</v>
      </c>
      <c r="B103">
        <v>2020</v>
      </c>
      <c r="C103" t="s">
        <v>11</v>
      </c>
      <c r="D103" s="1">
        <v>44196</v>
      </c>
      <c r="E103" s="14">
        <v>0</v>
      </c>
      <c r="F103" t="s">
        <v>8</v>
      </c>
      <c r="G103" t="str">
        <f t="shared" si="25"/>
        <v/>
      </c>
      <c r="H103" t="str">
        <f t="shared" si="13"/>
        <v>DAL-2020-Q4</v>
      </c>
      <c r="I103" s="3">
        <f>_xlfn.XLOOKUP(H103,prices!A:A,prices!F:F,"no match")</f>
        <v>35.11</v>
      </c>
      <c r="J103">
        <f>_xlfn.XLOOKUP(A103,current!$A:$A,current!$B:$B,"no match")</f>
        <v>80.17</v>
      </c>
      <c r="K103">
        <f t="shared" si="14"/>
        <v>0</v>
      </c>
      <c r="L103">
        <f t="shared" si="15"/>
        <v>0</v>
      </c>
      <c r="M103">
        <f t="shared" si="16"/>
        <v>0</v>
      </c>
      <c r="N103" t="str">
        <f t="shared" si="17"/>
        <v>SPY-2020-Q4</v>
      </c>
      <c r="O103">
        <f>_xlfn.XLOOKUP(N103,prices!$A:$A,prices!$F:$F,"no match")</f>
        <v>328.23</v>
      </c>
      <c r="P103">
        <f t="shared" si="18"/>
        <v>0</v>
      </c>
      <c r="Q103">
        <f>IF(P103="","",P103*assumptions!$B$4)</f>
        <v>0</v>
      </c>
      <c r="R103" s="10">
        <f t="shared" ca="1" si="19"/>
        <v>5.6865160848733742</v>
      </c>
      <c r="S103">
        <f ca="1">IF(E103="","",E103*1000000*(1+assumptions!$B$3)^R103)</f>
        <v>0</v>
      </c>
      <c r="T103">
        <f t="shared" si="20"/>
        <v>0</v>
      </c>
      <c r="U103">
        <f t="shared" si="21"/>
        <v>21</v>
      </c>
      <c r="V103">
        <f t="shared" si="22"/>
        <v>0</v>
      </c>
      <c r="W103">
        <f t="shared" si="23"/>
        <v>0</v>
      </c>
      <c r="X103">
        <f t="shared" si="24"/>
        <v>0</v>
      </c>
    </row>
    <row r="104" spans="1:24" x14ac:dyDescent="0.2">
      <c r="A104" t="s">
        <v>14</v>
      </c>
      <c r="B104">
        <v>2021</v>
      </c>
      <c r="C104" t="s">
        <v>7</v>
      </c>
      <c r="D104" s="1">
        <v>44286</v>
      </c>
      <c r="E104" s="14">
        <v>0</v>
      </c>
      <c r="F104" t="s">
        <v>8</v>
      </c>
      <c r="G104" t="str">
        <f t="shared" si="25"/>
        <v/>
      </c>
      <c r="H104" t="str">
        <f t="shared" si="13"/>
        <v>DAL-2021-Q1</v>
      </c>
      <c r="I104" s="3">
        <f>_xlfn.XLOOKUP(H104,prices!A:A,prices!F:F,"no match")</f>
        <v>42.7</v>
      </c>
      <c r="J104">
        <f>_xlfn.XLOOKUP(A104,current!$A:$A,current!$B:$B,"no match")</f>
        <v>80.17</v>
      </c>
      <c r="K104">
        <f t="shared" si="14"/>
        <v>0</v>
      </c>
      <c r="L104">
        <f t="shared" si="15"/>
        <v>0</v>
      </c>
      <c r="M104">
        <f t="shared" si="16"/>
        <v>0</v>
      </c>
      <c r="N104" t="str">
        <f t="shared" si="17"/>
        <v>SPY-2021-Q1</v>
      </c>
      <c r="O104">
        <f>_xlfn.XLOOKUP(N104,prices!$A:$A,prices!$F:$F,"no match")</f>
        <v>358.26</v>
      </c>
      <c r="P104">
        <f t="shared" si="18"/>
        <v>0</v>
      </c>
      <c r="Q104">
        <f>IF(P104="","",P104*assumptions!$B$4)</f>
        <v>0</v>
      </c>
      <c r="R104" s="10">
        <f t="shared" ca="1" si="19"/>
        <v>5.4401095140314855</v>
      </c>
      <c r="S104">
        <f ca="1">IF(E104="","",E104*1000000*(1+assumptions!$B$3)^R104)</f>
        <v>0</v>
      </c>
      <c r="T104">
        <f t="shared" si="20"/>
        <v>0</v>
      </c>
      <c r="U104">
        <f t="shared" si="21"/>
        <v>21</v>
      </c>
      <c r="V104">
        <f t="shared" si="22"/>
        <v>0</v>
      </c>
      <c r="W104">
        <f t="shared" si="23"/>
        <v>0</v>
      </c>
      <c r="X104">
        <f t="shared" si="24"/>
        <v>0</v>
      </c>
    </row>
    <row r="105" spans="1:24" x14ac:dyDescent="0.2">
      <c r="A105" t="s">
        <v>14</v>
      </c>
      <c r="B105">
        <v>2021</v>
      </c>
      <c r="C105" t="s">
        <v>9</v>
      </c>
      <c r="D105" s="1">
        <v>44377</v>
      </c>
      <c r="E105" s="14">
        <v>0</v>
      </c>
      <c r="F105" t="s">
        <v>8</v>
      </c>
      <c r="G105" t="str">
        <f t="shared" si="25"/>
        <v/>
      </c>
      <c r="H105" t="str">
        <f t="shared" si="13"/>
        <v>DAL-2021-Q2</v>
      </c>
      <c r="I105" s="3">
        <f>_xlfn.XLOOKUP(H105,prices!A:A,prices!F:F,"no match")</f>
        <v>44.69</v>
      </c>
      <c r="J105">
        <f>_xlfn.XLOOKUP(A105,current!$A:$A,current!$B:$B,"no match")</f>
        <v>80.17</v>
      </c>
      <c r="K105">
        <f t="shared" si="14"/>
        <v>0</v>
      </c>
      <c r="L105">
        <f t="shared" si="15"/>
        <v>0</v>
      </c>
      <c r="M105">
        <f t="shared" si="16"/>
        <v>0</v>
      </c>
      <c r="N105" t="str">
        <f t="shared" si="17"/>
        <v>SPY-2021-Q2</v>
      </c>
      <c r="O105">
        <f>_xlfn.XLOOKUP(N105,prices!$A:$A,prices!$F:$F,"no match")</f>
        <v>389.03</v>
      </c>
      <c r="P105">
        <f t="shared" si="18"/>
        <v>0</v>
      </c>
      <c r="Q105">
        <f>IF(P105="","",P105*assumptions!$B$4)</f>
        <v>0</v>
      </c>
      <c r="R105" s="10">
        <f t="shared" ca="1" si="19"/>
        <v>5.1909650924024637</v>
      </c>
      <c r="S105">
        <f ca="1">IF(E105="","",E105*1000000*(1+assumptions!$B$3)^R105)</f>
        <v>0</v>
      </c>
      <c r="T105">
        <f t="shared" si="20"/>
        <v>0</v>
      </c>
      <c r="U105">
        <f t="shared" si="21"/>
        <v>21</v>
      </c>
      <c r="V105">
        <f t="shared" si="22"/>
        <v>0</v>
      </c>
      <c r="W105">
        <f t="shared" si="23"/>
        <v>0</v>
      </c>
      <c r="X105">
        <f t="shared" si="24"/>
        <v>0</v>
      </c>
    </row>
    <row r="106" spans="1:24" x14ac:dyDescent="0.2">
      <c r="A106" t="s">
        <v>14</v>
      </c>
      <c r="B106">
        <v>2021</v>
      </c>
      <c r="C106" t="s">
        <v>10</v>
      </c>
      <c r="D106" s="1">
        <v>44469</v>
      </c>
      <c r="E106" s="14">
        <v>0</v>
      </c>
      <c r="F106" t="s">
        <v>8</v>
      </c>
      <c r="G106" t="str">
        <f t="shared" si="25"/>
        <v/>
      </c>
      <c r="H106" t="str">
        <f t="shared" si="13"/>
        <v>DAL-2021-Q3</v>
      </c>
      <c r="I106" s="3">
        <f>_xlfn.XLOOKUP(H106,prices!A:A,prices!F:F,"no match")</f>
        <v>39.409999999999997</v>
      </c>
      <c r="J106">
        <f>_xlfn.XLOOKUP(A106,current!$A:$A,current!$B:$B,"no match")</f>
        <v>80.17</v>
      </c>
      <c r="K106">
        <f t="shared" si="14"/>
        <v>0</v>
      </c>
      <c r="L106">
        <f t="shared" si="15"/>
        <v>0</v>
      </c>
      <c r="M106">
        <f t="shared" si="16"/>
        <v>0</v>
      </c>
      <c r="N106" t="str">
        <f t="shared" si="17"/>
        <v>SPY-2021-Q3</v>
      </c>
      <c r="O106">
        <f>_xlfn.XLOOKUP(N106,prices!$A:$A,prices!$F:$F,"no match")</f>
        <v>412.48</v>
      </c>
      <c r="P106">
        <f t="shared" si="18"/>
        <v>0</v>
      </c>
      <c r="Q106">
        <f>IF(P106="","",P106*assumptions!$B$4)</f>
        <v>0</v>
      </c>
      <c r="R106" s="10">
        <f t="shared" ca="1" si="19"/>
        <v>4.9390828199863108</v>
      </c>
      <c r="S106">
        <f ca="1">IF(E106="","",E106*1000000*(1+assumptions!$B$3)^R106)</f>
        <v>0</v>
      </c>
      <c r="T106">
        <f t="shared" si="20"/>
        <v>0</v>
      </c>
      <c r="U106">
        <f t="shared" si="21"/>
        <v>21</v>
      </c>
      <c r="V106">
        <f t="shared" si="22"/>
        <v>0</v>
      </c>
      <c r="W106">
        <f t="shared" si="23"/>
        <v>0</v>
      </c>
      <c r="X106">
        <f t="shared" si="24"/>
        <v>0</v>
      </c>
    </row>
    <row r="107" spans="1:24" x14ac:dyDescent="0.2">
      <c r="A107" t="s">
        <v>14</v>
      </c>
      <c r="B107">
        <v>2021</v>
      </c>
      <c r="C107" t="s">
        <v>11</v>
      </c>
      <c r="D107" s="1">
        <v>44561</v>
      </c>
      <c r="E107" s="14">
        <v>0</v>
      </c>
      <c r="F107" t="s">
        <v>8</v>
      </c>
      <c r="G107" t="str">
        <f t="shared" si="25"/>
        <v/>
      </c>
      <c r="H107" t="str">
        <f t="shared" si="13"/>
        <v>DAL-2021-Q4</v>
      </c>
      <c r="I107" s="3">
        <f>_xlfn.XLOOKUP(H107,prices!A:A,prices!F:F,"no match")</f>
        <v>38.64</v>
      </c>
      <c r="J107">
        <f>_xlfn.XLOOKUP(A107,current!$A:$A,current!$B:$B,"no match")</f>
        <v>80.17</v>
      </c>
      <c r="K107">
        <f t="shared" si="14"/>
        <v>0</v>
      </c>
      <c r="L107">
        <f t="shared" si="15"/>
        <v>0</v>
      </c>
      <c r="M107">
        <f t="shared" si="16"/>
        <v>0</v>
      </c>
      <c r="N107" t="str">
        <f t="shared" si="17"/>
        <v>SPY-2021-Q4</v>
      </c>
      <c r="O107">
        <f>_xlfn.XLOOKUP(N107,prices!$A:$A,prices!$F:$F,"no match")</f>
        <v>430.69</v>
      </c>
      <c r="P107">
        <f t="shared" si="18"/>
        <v>0</v>
      </c>
      <c r="Q107">
        <f>IF(P107="","",P107*assumptions!$B$4)</f>
        <v>0</v>
      </c>
      <c r="R107" s="10">
        <f t="shared" ca="1" si="19"/>
        <v>4.687200547570157</v>
      </c>
      <c r="S107">
        <f ca="1">IF(E107="","",E107*1000000*(1+assumptions!$B$3)^R107)</f>
        <v>0</v>
      </c>
      <c r="T107">
        <f t="shared" si="20"/>
        <v>0</v>
      </c>
      <c r="U107">
        <f t="shared" si="21"/>
        <v>21</v>
      </c>
      <c r="V107">
        <f t="shared" si="22"/>
        <v>0</v>
      </c>
      <c r="W107">
        <f t="shared" si="23"/>
        <v>0</v>
      </c>
      <c r="X107">
        <f t="shared" si="24"/>
        <v>0</v>
      </c>
    </row>
    <row r="108" spans="1:24" x14ac:dyDescent="0.2">
      <c r="A108" t="s">
        <v>14</v>
      </c>
      <c r="B108">
        <v>2022</v>
      </c>
      <c r="C108" t="s">
        <v>7</v>
      </c>
      <c r="D108" s="1">
        <v>44651</v>
      </c>
      <c r="E108" s="14">
        <v>0</v>
      </c>
      <c r="F108" t="s">
        <v>12</v>
      </c>
      <c r="G108" t="str">
        <f t="shared" si="25"/>
        <v>no repurchases reported</v>
      </c>
      <c r="H108" t="str">
        <f t="shared" si="13"/>
        <v>DAL-2022-Q1</v>
      </c>
      <c r="I108" s="3">
        <f>_xlfn.XLOOKUP(H108,prices!A:A,prices!F:F,"no match")</f>
        <v>37.590000000000003</v>
      </c>
      <c r="J108">
        <f>_xlfn.XLOOKUP(A108,current!$A:$A,current!$B:$B,"no match")</f>
        <v>80.17</v>
      </c>
      <c r="K108">
        <f t="shared" si="14"/>
        <v>0</v>
      </c>
      <c r="L108">
        <f t="shared" si="15"/>
        <v>0</v>
      </c>
      <c r="M108">
        <f t="shared" si="16"/>
        <v>0</v>
      </c>
      <c r="N108" t="str">
        <f t="shared" si="17"/>
        <v>SPY-2022-Q1</v>
      </c>
      <c r="O108">
        <f>_xlfn.XLOOKUP(N108,prices!$A:$A,prices!$F:$F,"no match")</f>
        <v>419.12</v>
      </c>
      <c r="P108">
        <f t="shared" si="18"/>
        <v>0</v>
      </c>
      <c r="Q108">
        <f>IF(P108="","",P108*assumptions!$B$4)</f>
        <v>0</v>
      </c>
      <c r="R108" s="10">
        <f t="shared" ca="1" si="19"/>
        <v>4.4407939767282683</v>
      </c>
      <c r="S108">
        <f ca="1">IF(E108="","",E108*1000000*(1+assumptions!$B$3)^R108)</f>
        <v>0</v>
      </c>
      <c r="T108">
        <f t="shared" si="20"/>
        <v>0</v>
      </c>
      <c r="U108">
        <f t="shared" si="21"/>
        <v>21</v>
      </c>
      <c r="V108">
        <f t="shared" si="22"/>
        <v>0</v>
      </c>
      <c r="W108">
        <f t="shared" si="23"/>
        <v>0</v>
      </c>
      <c r="X108">
        <f t="shared" si="24"/>
        <v>0</v>
      </c>
    </row>
    <row r="109" spans="1:24" x14ac:dyDescent="0.2">
      <c r="A109" t="s">
        <v>14</v>
      </c>
      <c r="B109">
        <v>2022</v>
      </c>
      <c r="C109" t="s">
        <v>9</v>
      </c>
      <c r="D109" s="1">
        <v>44742</v>
      </c>
      <c r="E109" s="14">
        <v>0</v>
      </c>
      <c r="F109" t="s">
        <v>12</v>
      </c>
      <c r="G109" t="str">
        <f t="shared" si="25"/>
        <v>no repurchases reported</v>
      </c>
      <c r="H109" t="str">
        <f t="shared" si="13"/>
        <v>DAL-2022-Q2</v>
      </c>
      <c r="I109" s="3">
        <f>_xlfn.XLOOKUP(H109,prices!A:A,prices!F:F,"no match")</f>
        <v>36.799999999999997</v>
      </c>
      <c r="J109">
        <f>_xlfn.XLOOKUP(A109,current!$A:$A,current!$B:$B,"no match")</f>
        <v>80.17</v>
      </c>
      <c r="K109">
        <f t="shared" si="14"/>
        <v>0</v>
      </c>
      <c r="L109">
        <f t="shared" si="15"/>
        <v>0</v>
      </c>
      <c r="M109">
        <f t="shared" si="16"/>
        <v>0</v>
      </c>
      <c r="N109" t="str">
        <f t="shared" si="17"/>
        <v>SPY-2022-Q2</v>
      </c>
      <c r="O109">
        <f>_xlfn.XLOOKUP(N109,prices!$A:$A,prices!$F:$F,"no match")</f>
        <v>386.88</v>
      </c>
      <c r="P109">
        <f t="shared" si="18"/>
        <v>0</v>
      </c>
      <c r="Q109">
        <f>IF(P109="","",P109*assumptions!$B$4)</f>
        <v>0</v>
      </c>
      <c r="R109" s="10">
        <f t="shared" ca="1" si="19"/>
        <v>4.1916495550992474</v>
      </c>
      <c r="S109">
        <f ca="1">IF(E109="","",E109*1000000*(1+assumptions!$B$3)^R109)</f>
        <v>0</v>
      </c>
      <c r="T109">
        <f t="shared" si="20"/>
        <v>0</v>
      </c>
      <c r="U109">
        <f t="shared" si="21"/>
        <v>21</v>
      </c>
      <c r="V109">
        <f t="shared" si="22"/>
        <v>0</v>
      </c>
      <c r="W109">
        <f t="shared" si="23"/>
        <v>0</v>
      </c>
      <c r="X109">
        <f t="shared" si="24"/>
        <v>0</v>
      </c>
    </row>
    <row r="110" spans="1:24" x14ac:dyDescent="0.2">
      <c r="A110" t="s">
        <v>14</v>
      </c>
      <c r="B110">
        <v>2022</v>
      </c>
      <c r="C110" t="s">
        <v>10</v>
      </c>
      <c r="D110" s="1">
        <v>44834</v>
      </c>
      <c r="E110" s="14">
        <v>0</v>
      </c>
      <c r="F110" t="s">
        <v>12</v>
      </c>
      <c r="G110" t="str">
        <f t="shared" si="25"/>
        <v>no repurchases reported</v>
      </c>
      <c r="H110" t="str">
        <f t="shared" si="13"/>
        <v>DAL-2022-Q3</v>
      </c>
      <c r="I110" s="3">
        <f>_xlfn.XLOOKUP(H110,prices!A:A,prices!F:F,"no match")</f>
        <v>30.65</v>
      </c>
      <c r="J110">
        <f>_xlfn.XLOOKUP(A110,current!$A:$A,current!$B:$B,"no match")</f>
        <v>80.17</v>
      </c>
      <c r="K110">
        <f t="shared" si="14"/>
        <v>0</v>
      </c>
      <c r="L110">
        <f t="shared" si="15"/>
        <v>0</v>
      </c>
      <c r="M110">
        <f t="shared" si="16"/>
        <v>0</v>
      </c>
      <c r="N110" t="str">
        <f t="shared" si="17"/>
        <v>SPY-2022-Q3</v>
      </c>
      <c r="O110">
        <f>_xlfn.XLOOKUP(N110,prices!$A:$A,prices!$F:$F,"no match")</f>
        <v>376.69</v>
      </c>
      <c r="P110">
        <f t="shared" si="18"/>
        <v>0</v>
      </c>
      <c r="Q110">
        <f>IF(P110="","",P110*assumptions!$B$4)</f>
        <v>0</v>
      </c>
      <c r="R110" s="10">
        <f t="shared" ca="1" si="19"/>
        <v>3.9397672826830936</v>
      </c>
      <c r="S110">
        <f ca="1">IF(E110="","",E110*1000000*(1+assumptions!$B$3)^R110)</f>
        <v>0</v>
      </c>
      <c r="T110">
        <f t="shared" si="20"/>
        <v>0</v>
      </c>
      <c r="U110">
        <f t="shared" si="21"/>
        <v>21</v>
      </c>
      <c r="V110">
        <f t="shared" si="22"/>
        <v>0</v>
      </c>
      <c r="W110">
        <f t="shared" si="23"/>
        <v>0</v>
      </c>
      <c r="X110">
        <f t="shared" si="24"/>
        <v>0</v>
      </c>
    </row>
    <row r="111" spans="1:24" x14ac:dyDescent="0.2">
      <c r="A111" t="s">
        <v>14</v>
      </c>
      <c r="B111">
        <v>2022</v>
      </c>
      <c r="C111" t="s">
        <v>11</v>
      </c>
      <c r="D111" s="1">
        <v>44926</v>
      </c>
      <c r="E111" s="14">
        <v>0</v>
      </c>
      <c r="F111" t="s">
        <v>8</v>
      </c>
      <c r="G111" t="str">
        <f t="shared" si="25"/>
        <v/>
      </c>
      <c r="H111" t="str">
        <f t="shared" si="13"/>
        <v>DAL-2022-Q4</v>
      </c>
      <c r="I111" s="3">
        <f>_xlfn.XLOOKUP(H111,prices!A:A,prices!F:F,"no match")</f>
        <v>31.99</v>
      </c>
      <c r="J111">
        <f>_xlfn.XLOOKUP(A111,current!$A:$A,current!$B:$B,"no match")</f>
        <v>80.17</v>
      </c>
      <c r="K111">
        <f t="shared" si="14"/>
        <v>0</v>
      </c>
      <c r="L111">
        <f t="shared" si="15"/>
        <v>0</v>
      </c>
      <c r="M111">
        <f t="shared" si="16"/>
        <v>0</v>
      </c>
      <c r="N111" t="str">
        <f t="shared" si="17"/>
        <v>SPY-2022-Q4</v>
      </c>
      <c r="O111">
        <f>_xlfn.XLOOKUP(N111,prices!$A:$A,prices!$F:$F,"no match")</f>
        <v>366.1</v>
      </c>
      <c r="P111">
        <f t="shared" si="18"/>
        <v>0</v>
      </c>
      <c r="Q111">
        <f>IF(P111="","",P111*assumptions!$B$4)</f>
        <v>0</v>
      </c>
      <c r="R111" s="10">
        <f t="shared" ca="1" si="19"/>
        <v>3.6878850102669403</v>
      </c>
      <c r="S111">
        <f ca="1">IF(E111="","",E111*1000000*(1+assumptions!$B$3)^R111)</f>
        <v>0</v>
      </c>
      <c r="T111">
        <f t="shared" si="20"/>
        <v>0</v>
      </c>
      <c r="U111">
        <f t="shared" si="21"/>
        <v>21</v>
      </c>
      <c r="V111">
        <f t="shared" si="22"/>
        <v>0</v>
      </c>
      <c r="W111">
        <f t="shared" si="23"/>
        <v>0</v>
      </c>
      <c r="X111">
        <f t="shared" si="24"/>
        <v>0</v>
      </c>
    </row>
    <row r="112" spans="1:24" x14ac:dyDescent="0.2">
      <c r="A112" t="s">
        <v>15</v>
      </c>
      <c r="B112">
        <v>2015</v>
      </c>
      <c r="C112" t="s">
        <v>7</v>
      </c>
      <c r="D112" s="1">
        <v>42094</v>
      </c>
      <c r="E112" s="14">
        <v>0</v>
      </c>
      <c r="F112" t="s">
        <v>12</v>
      </c>
      <c r="G112" t="str">
        <f t="shared" si="25"/>
        <v>no repurchases reported</v>
      </c>
      <c r="H112" t="str">
        <f t="shared" si="13"/>
        <v>JBLU-2015-Q1</v>
      </c>
      <c r="I112" s="3">
        <f>_xlfn.XLOOKUP(H112,prices!A:A,prices!F:F,"no match")</f>
        <v>17.02</v>
      </c>
      <c r="J112">
        <f>_xlfn.XLOOKUP(A112,current!$A:$A,current!$B:$B,"no match")</f>
        <v>4.63</v>
      </c>
      <c r="K112">
        <f t="shared" si="14"/>
        <v>0</v>
      </c>
      <c r="L112">
        <f t="shared" si="15"/>
        <v>0</v>
      </c>
      <c r="M112">
        <f t="shared" si="16"/>
        <v>0</v>
      </c>
      <c r="N112" t="str">
        <f t="shared" si="17"/>
        <v>SPY-2015-Q1</v>
      </c>
      <c r="O112">
        <f>_xlfn.XLOOKUP(N112,prices!$A:$A,prices!$F:$F,"no match")</f>
        <v>170.57</v>
      </c>
      <c r="P112">
        <f t="shared" si="18"/>
        <v>0</v>
      </c>
      <c r="Q112">
        <f>IF(P112="","",P112*assumptions!$B$4)</f>
        <v>0</v>
      </c>
      <c r="R112" s="10">
        <f t="shared" ca="1" si="19"/>
        <v>11.441478439425051</v>
      </c>
      <c r="S112">
        <f ca="1">IF(E112="","",E112*1000000*(1+assumptions!$B$3)^R112)</f>
        <v>0</v>
      </c>
      <c r="T112">
        <f t="shared" si="20"/>
        <v>0</v>
      </c>
      <c r="U112">
        <f t="shared" si="21"/>
        <v>8</v>
      </c>
      <c r="V112">
        <f t="shared" si="22"/>
        <v>0</v>
      </c>
      <c r="W112">
        <f t="shared" si="23"/>
        <v>0</v>
      </c>
      <c r="X112">
        <f t="shared" si="24"/>
        <v>0</v>
      </c>
    </row>
    <row r="113" spans="1:24" x14ac:dyDescent="0.2">
      <c r="A113" t="s">
        <v>15</v>
      </c>
      <c r="B113">
        <v>2015</v>
      </c>
      <c r="C113" t="s">
        <v>9</v>
      </c>
      <c r="D113" s="1">
        <v>42185</v>
      </c>
      <c r="E113" s="14">
        <v>0</v>
      </c>
      <c r="F113" t="s">
        <v>12</v>
      </c>
      <c r="G113" t="str">
        <f t="shared" si="25"/>
        <v>no repurchases reported</v>
      </c>
      <c r="H113" t="str">
        <f t="shared" si="13"/>
        <v>JBLU-2015-Q2</v>
      </c>
      <c r="I113" s="3">
        <f>_xlfn.XLOOKUP(H113,prices!A:A,prices!F:F,"no match")</f>
        <v>20.25</v>
      </c>
      <c r="J113">
        <f>_xlfn.XLOOKUP(A113,current!$A:$A,current!$B:$B,"no match")</f>
        <v>4.63</v>
      </c>
      <c r="K113">
        <f t="shared" si="14"/>
        <v>0</v>
      </c>
      <c r="L113">
        <f t="shared" si="15"/>
        <v>0</v>
      </c>
      <c r="M113">
        <f t="shared" si="16"/>
        <v>0</v>
      </c>
      <c r="N113" t="str">
        <f t="shared" si="17"/>
        <v>SPY-2015-Q2</v>
      </c>
      <c r="O113">
        <f>_xlfn.XLOOKUP(N113,prices!$A:$A,prices!$F:$F,"no match")</f>
        <v>174.56</v>
      </c>
      <c r="P113">
        <f t="shared" si="18"/>
        <v>0</v>
      </c>
      <c r="Q113">
        <f>IF(P113="","",P113*assumptions!$B$4)</f>
        <v>0</v>
      </c>
      <c r="R113" s="10">
        <f t="shared" ca="1" si="19"/>
        <v>11.19233401779603</v>
      </c>
      <c r="S113">
        <f ca="1">IF(E113="","",E113*1000000*(1+assumptions!$B$3)^R113)</f>
        <v>0</v>
      </c>
      <c r="T113">
        <f t="shared" si="20"/>
        <v>0</v>
      </c>
      <c r="U113">
        <f t="shared" si="21"/>
        <v>8</v>
      </c>
      <c r="V113">
        <f t="shared" si="22"/>
        <v>0</v>
      </c>
      <c r="W113">
        <f t="shared" si="23"/>
        <v>0</v>
      </c>
      <c r="X113">
        <f t="shared" si="24"/>
        <v>0</v>
      </c>
    </row>
    <row r="114" spans="1:24" x14ac:dyDescent="0.2">
      <c r="A114" t="s">
        <v>15</v>
      </c>
      <c r="B114">
        <v>2015</v>
      </c>
      <c r="C114" t="s">
        <v>10</v>
      </c>
      <c r="D114" s="1">
        <v>42277</v>
      </c>
      <c r="E114" s="14">
        <v>0</v>
      </c>
      <c r="F114" t="s">
        <v>12</v>
      </c>
      <c r="G114" t="str">
        <f t="shared" si="25"/>
        <v>no repurchases reported</v>
      </c>
      <c r="H114" t="str">
        <f t="shared" si="13"/>
        <v>JBLU-2015-Q3</v>
      </c>
      <c r="I114" s="3">
        <f>_xlfn.XLOOKUP(H114,prices!A:A,prices!F:F,"no match")</f>
        <v>23.57</v>
      </c>
      <c r="J114">
        <f>_xlfn.XLOOKUP(A114,current!$A:$A,current!$B:$B,"no match")</f>
        <v>4.63</v>
      </c>
      <c r="K114">
        <f t="shared" si="14"/>
        <v>0</v>
      </c>
      <c r="L114">
        <f t="shared" si="15"/>
        <v>0</v>
      </c>
      <c r="M114">
        <f t="shared" si="16"/>
        <v>0</v>
      </c>
      <c r="N114" t="str">
        <f t="shared" si="17"/>
        <v>SPY-2015-Q3</v>
      </c>
      <c r="O114">
        <f>_xlfn.XLOOKUP(N114,prices!$A:$A,prices!$F:$F,"no match")</f>
        <v>169.23</v>
      </c>
      <c r="P114">
        <f t="shared" si="18"/>
        <v>0</v>
      </c>
      <c r="Q114">
        <f>IF(P114="","",P114*assumptions!$B$4)</f>
        <v>0</v>
      </c>
      <c r="R114" s="10">
        <f t="shared" ca="1" si="19"/>
        <v>10.940451745379876</v>
      </c>
      <c r="S114">
        <f ca="1">IF(E114="","",E114*1000000*(1+assumptions!$B$3)^R114)</f>
        <v>0</v>
      </c>
      <c r="T114">
        <f t="shared" si="20"/>
        <v>0</v>
      </c>
      <c r="U114">
        <f t="shared" si="21"/>
        <v>8</v>
      </c>
      <c r="V114">
        <f t="shared" si="22"/>
        <v>0</v>
      </c>
      <c r="W114">
        <f t="shared" si="23"/>
        <v>0</v>
      </c>
      <c r="X114">
        <f t="shared" si="24"/>
        <v>0</v>
      </c>
    </row>
    <row r="115" spans="1:24" x14ac:dyDescent="0.2">
      <c r="A115" t="s">
        <v>15</v>
      </c>
      <c r="B115">
        <v>2015</v>
      </c>
      <c r="C115" t="s">
        <v>11</v>
      </c>
      <c r="D115" s="1">
        <v>42369</v>
      </c>
      <c r="E115" s="14">
        <v>0</v>
      </c>
      <c r="F115" t="s">
        <v>12</v>
      </c>
      <c r="G115" t="str">
        <f t="shared" si="25"/>
        <v>no repurchases reported</v>
      </c>
      <c r="H115" t="str">
        <f t="shared" si="13"/>
        <v>JBLU-2015-Q4</v>
      </c>
      <c r="I115" s="3">
        <f>_xlfn.XLOOKUP(H115,prices!A:A,prices!F:F,"no match")</f>
        <v>24.91</v>
      </c>
      <c r="J115">
        <f>_xlfn.XLOOKUP(A115,current!$A:$A,current!$B:$B,"no match")</f>
        <v>4.63</v>
      </c>
      <c r="K115">
        <f t="shared" si="14"/>
        <v>0</v>
      </c>
      <c r="L115">
        <f t="shared" si="15"/>
        <v>0</v>
      </c>
      <c r="M115">
        <f t="shared" si="16"/>
        <v>0</v>
      </c>
      <c r="N115" t="str">
        <f t="shared" si="17"/>
        <v>SPY-2015-Q4</v>
      </c>
      <c r="O115">
        <f>_xlfn.XLOOKUP(N115,prices!$A:$A,prices!$F:$F,"no match")</f>
        <v>172.25</v>
      </c>
      <c r="P115">
        <f t="shared" si="18"/>
        <v>0</v>
      </c>
      <c r="Q115">
        <f>IF(P115="","",P115*assumptions!$B$4)</f>
        <v>0</v>
      </c>
      <c r="R115" s="10">
        <f t="shared" ca="1" si="19"/>
        <v>10.688569472963723</v>
      </c>
      <c r="S115">
        <f ca="1">IF(E115="","",E115*1000000*(1+assumptions!$B$3)^R115)</f>
        <v>0</v>
      </c>
      <c r="T115">
        <f t="shared" si="20"/>
        <v>0</v>
      </c>
      <c r="U115">
        <f t="shared" si="21"/>
        <v>8</v>
      </c>
      <c r="V115">
        <f t="shared" si="22"/>
        <v>0</v>
      </c>
      <c r="W115">
        <f t="shared" si="23"/>
        <v>0</v>
      </c>
      <c r="X115">
        <f t="shared" si="24"/>
        <v>0</v>
      </c>
    </row>
    <row r="116" spans="1:24" x14ac:dyDescent="0.2">
      <c r="A116" t="s">
        <v>15</v>
      </c>
      <c r="B116">
        <v>2016</v>
      </c>
      <c r="C116" t="s">
        <v>7</v>
      </c>
      <c r="D116" s="1">
        <v>42460</v>
      </c>
      <c r="E116" s="14">
        <v>13</v>
      </c>
      <c r="F116" t="s">
        <v>8</v>
      </c>
      <c r="G116" t="str">
        <f t="shared" si="25"/>
        <v/>
      </c>
      <c r="H116" t="str">
        <f t="shared" si="13"/>
        <v>JBLU-2016-Q1</v>
      </c>
      <c r="I116" s="3">
        <f>_xlfn.XLOOKUP(H116,prices!A:A,prices!F:F,"no match")</f>
        <v>21.03</v>
      </c>
      <c r="J116">
        <f>_xlfn.XLOOKUP(A116,current!$A:$A,current!$B:$B,"no match")</f>
        <v>4.63</v>
      </c>
      <c r="K116">
        <f t="shared" si="14"/>
        <v>618164.52686638129</v>
      </c>
      <c r="L116">
        <f t="shared" si="15"/>
        <v>2862101.7593913451</v>
      </c>
      <c r="M116">
        <f t="shared" si="16"/>
        <v>551980</v>
      </c>
      <c r="N116" t="str">
        <f t="shared" si="17"/>
        <v>SPY-2016-Q1</v>
      </c>
      <c r="O116">
        <f>_xlfn.XLOOKUP(N116,prices!$A:$A,prices!$F:$F,"no match")</f>
        <v>164.64</v>
      </c>
      <c r="P116">
        <f t="shared" si="18"/>
        <v>78960.155490767749</v>
      </c>
      <c r="Q116">
        <f>IF(P116="","",P116*assumptions!$B$4)</f>
        <v>60814322.157434419</v>
      </c>
      <c r="R116" s="10">
        <f t="shared" ca="1" si="19"/>
        <v>10.439425051334702</v>
      </c>
      <c r="S116">
        <f ca="1">IF(E116="","",E116*1000000*(1+assumptions!$B$3)^R116)</f>
        <v>19479660.923413176</v>
      </c>
      <c r="T116">
        <f t="shared" si="20"/>
        <v>1</v>
      </c>
      <c r="U116">
        <f t="shared" si="21"/>
        <v>8</v>
      </c>
      <c r="V116">
        <f t="shared" si="22"/>
        <v>196.25</v>
      </c>
      <c r="W116">
        <f t="shared" si="23"/>
        <v>9331906.7998097949</v>
      </c>
      <c r="X116">
        <f t="shared" si="24"/>
        <v>43206728.483119346</v>
      </c>
    </row>
    <row r="117" spans="1:24" x14ac:dyDescent="0.2">
      <c r="A117" t="s">
        <v>15</v>
      </c>
      <c r="B117">
        <v>2016</v>
      </c>
      <c r="C117" t="s">
        <v>9</v>
      </c>
      <c r="D117" s="1">
        <v>42551</v>
      </c>
      <c r="E117" s="14">
        <v>0</v>
      </c>
      <c r="F117" t="s">
        <v>12</v>
      </c>
      <c r="G117" t="str">
        <f t="shared" si="25"/>
        <v>no repurchases reported</v>
      </c>
      <c r="H117" t="str">
        <f t="shared" si="13"/>
        <v>JBLU-2016-Q2</v>
      </c>
      <c r="I117" s="3">
        <f>_xlfn.XLOOKUP(H117,prices!A:A,prices!F:F,"no match")</f>
        <v>18.579999999999998</v>
      </c>
      <c r="J117">
        <f>_xlfn.XLOOKUP(A117,current!$A:$A,current!$B:$B,"no match")</f>
        <v>4.63</v>
      </c>
      <c r="K117">
        <f t="shared" si="14"/>
        <v>0</v>
      </c>
      <c r="L117">
        <f t="shared" si="15"/>
        <v>0</v>
      </c>
      <c r="M117">
        <f t="shared" si="16"/>
        <v>0</v>
      </c>
      <c r="N117" t="str">
        <f t="shared" si="17"/>
        <v>SPY-2016-Q2</v>
      </c>
      <c r="O117">
        <f>_xlfn.XLOOKUP(N117,prices!$A:$A,prices!$F:$F,"no match")</f>
        <v>175.97</v>
      </c>
      <c r="P117">
        <f t="shared" si="18"/>
        <v>0</v>
      </c>
      <c r="Q117">
        <f>IF(P117="","",P117*assumptions!$B$4)</f>
        <v>0</v>
      </c>
      <c r="R117" s="10">
        <f t="shared" ca="1" si="19"/>
        <v>10.190280629705681</v>
      </c>
      <c r="S117">
        <f ca="1">IF(E117="","",E117*1000000*(1+assumptions!$B$3)^R117)</f>
        <v>0</v>
      </c>
      <c r="T117">
        <f t="shared" si="20"/>
        <v>0</v>
      </c>
      <c r="U117">
        <f t="shared" si="21"/>
        <v>8</v>
      </c>
      <c r="V117">
        <f t="shared" si="22"/>
        <v>0</v>
      </c>
      <c r="W117">
        <f t="shared" si="23"/>
        <v>0</v>
      </c>
      <c r="X117">
        <f t="shared" si="24"/>
        <v>0</v>
      </c>
    </row>
    <row r="118" spans="1:24" x14ac:dyDescent="0.2">
      <c r="A118" t="s">
        <v>15</v>
      </c>
      <c r="B118">
        <v>2016</v>
      </c>
      <c r="C118" t="s">
        <v>10</v>
      </c>
      <c r="D118" s="1">
        <v>42643</v>
      </c>
      <c r="E118" s="14">
        <v>0</v>
      </c>
      <c r="F118" t="s">
        <v>12</v>
      </c>
      <c r="G118" t="str">
        <f t="shared" si="25"/>
        <v>no repurchases reported</v>
      </c>
      <c r="H118" t="str">
        <f t="shared" si="13"/>
        <v>JBLU-2016-Q3</v>
      </c>
      <c r="I118" s="3">
        <f>_xlfn.XLOOKUP(H118,prices!A:A,prices!F:F,"no match")</f>
        <v>17.09</v>
      </c>
      <c r="J118">
        <f>_xlfn.XLOOKUP(A118,current!$A:$A,current!$B:$B,"no match")</f>
        <v>4.63</v>
      </c>
      <c r="K118">
        <f t="shared" si="14"/>
        <v>0</v>
      </c>
      <c r="L118">
        <f t="shared" si="15"/>
        <v>0</v>
      </c>
      <c r="M118">
        <f t="shared" si="16"/>
        <v>0</v>
      </c>
      <c r="N118" t="str">
        <f t="shared" si="17"/>
        <v>SPY-2016-Q3</v>
      </c>
      <c r="O118">
        <f>_xlfn.XLOOKUP(N118,prices!$A:$A,prices!$F:$F,"no match")</f>
        <v>184.28</v>
      </c>
      <c r="P118">
        <f t="shared" si="18"/>
        <v>0</v>
      </c>
      <c r="Q118">
        <f>IF(P118="","",P118*assumptions!$B$4)</f>
        <v>0</v>
      </c>
      <c r="R118" s="10">
        <f t="shared" ca="1" si="19"/>
        <v>9.9383983572895271</v>
      </c>
      <c r="S118">
        <f ca="1">IF(E118="","",E118*1000000*(1+assumptions!$B$3)^R118)</f>
        <v>0</v>
      </c>
      <c r="T118">
        <f t="shared" si="20"/>
        <v>0</v>
      </c>
      <c r="U118">
        <f t="shared" si="21"/>
        <v>8</v>
      </c>
      <c r="V118">
        <f t="shared" si="22"/>
        <v>0</v>
      </c>
      <c r="W118">
        <f t="shared" si="23"/>
        <v>0</v>
      </c>
      <c r="X118">
        <f t="shared" si="24"/>
        <v>0</v>
      </c>
    </row>
    <row r="119" spans="1:24" x14ac:dyDescent="0.2">
      <c r="A119" t="s">
        <v>15</v>
      </c>
      <c r="B119">
        <v>2016</v>
      </c>
      <c r="C119" t="s">
        <v>11</v>
      </c>
      <c r="D119" s="1">
        <v>42735</v>
      </c>
      <c r="E119" s="14">
        <v>107</v>
      </c>
      <c r="F119" t="s">
        <v>8</v>
      </c>
      <c r="G119" t="str">
        <f t="shared" si="25"/>
        <v/>
      </c>
      <c r="H119" t="str">
        <f t="shared" si="13"/>
        <v>JBLU-2016-Q4</v>
      </c>
      <c r="I119" s="3">
        <f>_xlfn.XLOOKUP(H119,prices!A:A,prices!F:F,"no match")</f>
        <v>19.75</v>
      </c>
      <c r="J119">
        <f>_xlfn.XLOOKUP(A119,current!$A:$A,current!$B:$B,"no match")</f>
        <v>4.63</v>
      </c>
      <c r="K119">
        <f t="shared" si="14"/>
        <v>5417721.5189873418</v>
      </c>
      <c r="L119">
        <f t="shared" si="15"/>
        <v>25084050.632911392</v>
      </c>
      <c r="M119">
        <f t="shared" si="16"/>
        <v>4572645</v>
      </c>
      <c r="N119" t="str">
        <f t="shared" si="17"/>
        <v>SPY-2016-Q4</v>
      </c>
      <c r="O119">
        <f>_xlfn.XLOOKUP(N119,prices!$A:$A,prices!$F:$F,"no match")</f>
        <v>187.21</v>
      </c>
      <c r="P119">
        <f t="shared" si="18"/>
        <v>571550.66502857755</v>
      </c>
      <c r="Q119">
        <f>IF(P119="","",P119*assumptions!$B$4)</f>
        <v>440202606.6983602</v>
      </c>
      <c r="R119" s="10">
        <f t="shared" ca="1" si="19"/>
        <v>9.6865160848733751</v>
      </c>
      <c r="S119">
        <f ca="1">IF(E119="","",E119*1000000*(1+assumptions!$B$3)^R119)</f>
        <v>155723625.48832709</v>
      </c>
      <c r="T119">
        <f t="shared" si="20"/>
        <v>1</v>
      </c>
      <c r="U119">
        <f t="shared" si="21"/>
        <v>8</v>
      </c>
      <c r="V119">
        <f t="shared" si="22"/>
        <v>196.25</v>
      </c>
      <c r="W119">
        <f t="shared" si="23"/>
        <v>9936708.860759493</v>
      </c>
      <c r="X119">
        <f t="shared" si="24"/>
        <v>46006962.025316454</v>
      </c>
    </row>
    <row r="120" spans="1:24" hidden="1" x14ac:dyDescent="0.2">
      <c r="A120" t="s">
        <v>15</v>
      </c>
      <c r="B120">
        <v>2017</v>
      </c>
      <c r="C120" t="s">
        <v>7</v>
      </c>
      <c r="D120" s="1">
        <v>42825</v>
      </c>
      <c r="E120" s="14">
        <v>109</v>
      </c>
      <c r="F120" t="s">
        <v>8</v>
      </c>
      <c r="G120" t="str">
        <f t="shared" si="25"/>
        <v/>
      </c>
      <c r="H120" t="str">
        <f t="shared" si="13"/>
        <v>JBLU-2017-Q1</v>
      </c>
      <c r="I120" s="3">
        <f>_xlfn.XLOOKUP(H120,prices!A:A,prices!F:F,"no match")</f>
        <v>20.39</v>
      </c>
      <c r="J120">
        <f>_xlfn.XLOOKUP(A120,current!$A:$A,current!$B:$B,"no match")</f>
        <v>4.63</v>
      </c>
      <c r="K120">
        <f t="shared" si="14"/>
        <v>5345757.7243746929</v>
      </c>
      <c r="L120">
        <f t="shared" si="15"/>
        <v>24750858.263854828</v>
      </c>
      <c r="M120">
        <f t="shared" si="16"/>
        <v>4667925</v>
      </c>
      <c r="N120" t="str">
        <f t="shared" si="17"/>
        <v>SPY-2017-Q1</v>
      </c>
      <c r="O120">
        <f>_xlfn.XLOOKUP(N120,prices!$A:$A,prices!$F:$F,"no match")</f>
        <v>200.26</v>
      </c>
      <c r="P120">
        <f t="shared" si="18"/>
        <v>544292.41985418962</v>
      </c>
      <c r="Q120">
        <f>IF(P120="","",P120*assumptions!$B$4)</f>
        <v>419208578.84749836</v>
      </c>
      <c r="R120" s="10">
        <f t="shared" ca="1" si="19"/>
        <v>9.4401095140314855</v>
      </c>
      <c r="S120">
        <f ca="1">IF(E120="","",E120*1000000*(1+assumptions!$B$3)^R120)</f>
        <v>157127268.45763761</v>
      </c>
      <c r="T120">
        <f t="shared" si="20"/>
        <v>1</v>
      </c>
      <c r="U120">
        <f t="shared" si="21"/>
        <v>8</v>
      </c>
      <c r="V120">
        <f t="shared" si="22"/>
        <v>196.25</v>
      </c>
      <c r="W120">
        <f t="shared" si="23"/>
        <v>9624816.0863168221</v>
      </c>
      <c r="X120">
        <f t="shared" si="24"/>
        <v>44562898.479646884</v>
      </c>
    </row>
    <row r="121" spans="1:24" hidden="1" x14ac:dyDescent="0.2">
      <c r="A121" t="s">
        <v>15</v>
      </c>
      <c r="B121">
        <v>2017</v>
      </c>
      <c r="C121" t="s">
        <v>9</v>
      </c>
      <c r="D121" s="1">
        <v>42916</v>
      </c>
      <c r="E121" s="14">
        <v>0</v>
      </c>
      <c r="F121" t="s">
        <v>12</v>
      </c>
      <c r="G121" t="str">
        <f t="shared" si="25"/>
        <v>no repurchases reported</v>
      </c>
      <c r="H121" t="str">
        <f t="shared" si="13"/>
        <v>JBLU-2017-Q2</v>
      </c>
      <c r="I121" s="3">
        <f>_xlfn.XLOOKUP(H121,prices!A:A,prices!F:F,"no match")</f>
        <v>21.98</v>
      </c>
      <c r="J121">
        <f>_xlfn.XLOOKUP(A121,current!$A:$A,current!$B:$B,"no match")</f>
        <v>4.63</v>
      </c>
      <c r="K121">
        <f t="shared" si="14"/>
        <v>0</v>
      </c>
      <c r="L121">
        <f t="shared" si="15"/>
        <v>0</v>
      </c>
      <c r="M121">
        <f t="shared" si="16"/>
        <v>0</v>
      </c>
      <c r="N121" t="str">
        <f t="shared" si="17"/>
        <v>SPY-2017-Q2</v>
      </c>
      <c r="O121">
        <f>_xlfn.XLOOKUP(N121,prices!$A:$A,prices!$F:$F,"no match")</f>
        <v>207.45</v>
      </c>
      <c r="P121">
        <f t="shared" si="18"/>
        <v>0</v>
      </c>
      <c r="Q121">
        <f>IF(P121="","",P121*assumptions!$B$4)</f>
        <v>0</v>
      </c>
      <c r="R121" s="10">
        <f t="shared" ca="1" si="19"/>
        <v>9.1909650924024646</v>
      </c>
      <c r="S121">
        <f ca="1">IF(E121="","",E121*1000000*(1+assumptions!$B$3)^R121)</f>
        <v>0</v>
      </c>
      <c r="T121">
        <f t="shared" si="20"/>
        <v>0</v>
      </c>
      <c r="U121">
        <f t="shared" si="21"/>
        <v>8</v>
      </c>
      <c r="V121">
        <f t="shared" si="22"/>
        <v>0</v>
      </c>
      <c r="W121">
        <f t="shared" si="23"/>
        <v>0</v>
      </c>
      <c r="X121">
        <f t="shared" si="24"/>
        <v>0</v>
      </c>
    </row>
    <row r="122" spans="1:24" hidden="1" x14ac:dyDescent="0.2">
      <c r="A122" t="s">
        <v>15</v>
      </c>
      <c r="B122">
        <v>2017</v>
      </c>
      <c r="C122" t="s">
        <v>10</v>
      </c>
      <c r="D122" s="1">
        <v>43008</v>
      </c>
      <c r="E122" s="14">
        <v>0</v>
      </c>
      <c r="F122" t="s">
        <v>12</v>
      </c>
      <c r="G122" t="str">
        <f t="shared" si="25"/>
        <v>no repurchases reported</v>
      </c>
      <c r="H122" t="str">
        <f t="shared" si="13"/>
        <v>JBLU-2017-Q3</v>
      </c>
      <c r="I122" s="3">
        <f>_xlfn.XLOOKUP(H122,prices!A:A,prices!F:F,"no match")</f>
        <v>20.96</v>
      </c>
      <c r="J122">
        <f>_xlfn.XLOOKUP(A122,current!$A:$A,current!$B:$B,"no match")</f>
        <v>4.63</v>
      </c>
      <c r="K122">
        <f t="shared" si="14"/>
        <v>0</v>
      </c>
      <c r="L122">
        <f t="shared" si="15"/>
        <v>0</v>
      </c>
      <c r="M122">
        <f t="shared" si="16"/>
        <v>0</v>
      </c>
      <c r="N122" t="str">
        <f t="shared" si="17"/>
        <v>SPY-2017-Q3</v>
      </c>
      <c r="O122">
        <f>_xlfn.XLOOKUP(N122,prices!$A:$A,prices!$F:$F,"no match")</f>
        <v>214.46</v>
      </c>
      <c r="P122">
        <f t="shared" si="18"/>
        <v>0</v>
      </c>
      <c r="Q122">
        <f>IF(P122="","",P122*assumptions!$B$4)</f>
        <v>0</v>
      </c>
      <c r="R122" s="10">
        <f t="shared" ca="1" si="19"/>
        <v>8.9390828199863108</v>
      </c>
      <c r="S122">
        <f ca="1">IF(E122="","",E122*1000000*(1+assumptions!$B$3)^R122)</f>
        <v>0</v>
      </c>
      <c r="T122">
        <f t="shared" si="20"/>
        <v>0</v>
      </c>
      <c r="U122">
        <f t="shared" si="21"/>
        <v>8</v>
      </c>
      <c r="V122">
        <f t="shared" si="22"/>
        <v>0</v>
      </c>
      <c r="W122">
        <f t="shared" si="23"/>
        <v>0</v>
      </c>
      <c r="X122">
        <f t="shared" si="24"/>
        <v>0</v>
      </c>
    </row>
    <row r="123" spans="1:24" hidden="1" x14ac:dyDescent="0.2">
      <c r="A123" t="s">
        <v>15</v>
      </c>
      <c r="B123">
        <v>2017</v>
      </c>
      <c r="C123" t="s">
        <v>11</v>
      </c>
      <c r="D123" s="1">
        <v>43100</v>
      </c>
      <c r="E123" s="14">
        <v>271</v>
      </c>
      <c r="F123" t="s">
        <v>8</v>
      </c>
      <c r="G123" t="str">
        <f t="shared" si="25"/>
        <v/>
      </c>
      <c r="H123" t="str">
        <f t="shared" si="13"/>
        <v>JBLU-2017-Q4</v>
      </c>
      <c r="I123" s="3">
        <f>_xlfn.XLOOKUP(H123,prices!A:A,prices!F:F,"no match")</f>
        <v>20.43</v>
      </c>
      <c r="J123">
        <f>_xlfn.XLOOKUP(A123,current!$A:$A,current!$B:$B,"no match")</f>
        <v>4.63</v>
      </c>
      <c r="K123">
        <f t="shared" si="14"/>
        <v>13264806.656877141</v>
      </c>
      <c r="L123">
        <f t="shared" si="15"/>
        <v>61416054.821341164</v>
      </c>
      <c r="M123">
        <f t="shared" si="16"/>
        <v>11680100</v>
      </c>
      <c r="N123" t="str">
        <f t="shared" si="17"/>
        <v>SPY-2017-Q4</v>
      </c>
      <c r="O123">
        <f>_xlfn.XLOOKUP(N123,prices!$A:$A,prices!$F:$F,"no match")</f>
        <v>227.33</v>
      </c>
      <c r="P123">
        <f t="shared" si="18"/>
        <v>1192099.5909030924</v>
      </c>
      <c r="Q123">
        <f>IF(P123="","",P123*assumptions!$B$4)</f>
        <v>918143183.91765285</v>
      </c>
      <c r="R123" s="10">
        <f t="shared" ca="1" si="19"/>
        <v>8.687200547570157</v>
      </c>
      <c r="S123">
        <f ca="1">IF(E123="","",E123*1000000*(1+assumptions!$B$3)^R123)</f>
        <v>379425959.86774027</v>
      </c>
      <c r="T123">
        <f t="shared" si="20"/>
        <v>1</v>
      </c>
      <c r="U123">
        <f t="shared" si="21"/>
        <v>8</v>
      </c>
      <c r="V123">
        <f t="shared" si="22"/>
        <v>196.25</v>
      </c>
      <c r="W123">
        <f t="shared" si="23"/>
        <v>9605971.6103768963</v>
      </c>
      <c r="X123">
        <f t="shared" si="24"/>
        <v>44475648.556045026</v>
      </c>
    </row>
    <row r="124" spans="1:24" x14ac:dyDescent="0.2">
      <c r="A124" t="s">
        <v>15</v>
      </c>
      <c r="B124">
        <v>2018</v>
      </c>
      <c r="C124" t="s">
        <v>7</v>
      </c>
      <c r="D124" s="1">
        <v>43190</v>
      </c>
      <c r="E124" s="14">
        <v>131</v>
      </c>
      <c r="F124" t="s">
        <v>8</v>
      </c>
      <c r="G124" t="str">
        <f t="shared" si="25"/>
        <v/>
      </c>
      <c r="H124" t="str">
        <f t="shared" si="13"/>
        <v>JBLU-2018-Q1</v>
      </c>
      <c r="I124" s="3">
        <f>_xlfn.XLOOKUP(H124,prices!A:A,prices!F:F,"no match")</f>
        <v>21.26</v>
      </c>
      <c r="J124">
        <f>_xlfn.XLOOKUP(A124,current!$A:$A,current!$B:$B,"no match")</f>
        <v>4.63</v>
      </c>
      <c r="K124">
        <f t="shared" si="14"/>
        <v>6161806.2088428969</v>
      </c>
      <c r="L124">
        <f t="shared" si="15"/>
        <v>28529162.746942613</v>
      </c>
      <c r="M124">
        <f t="shared" si="16"/>
        <v>5657890</v>
      </c>
      <c r="N124" t="str">
        <f t="shared" si="17"/>
        <v>SPY-2018-Q1</v>
      </c>
      <c r="O124">
        <f>_xlfn.XLOOKUP(N124,prices!$A:$A,prices!$F:$F,"no match")</f>
        <v>239.76</v>
      </c>
      <c r="P124">
        <f t="shared" si="18"/>
        <v>546379.71304637974</v>
      </c>
      <c r="Q124">
        <f>IF(P124="","",P124*assumptions!$B$4)</f>
        <v>420816191.19119126</v>
      </c>
      <c r="R124" s="10">
        <f t="shared" ca="1" si="19"/>
        <v>8.4407939767282691</v>
      </c>
      <c r="S124">
        <f ca="1">IF(E124="","",E124*1000000*(1+assumptions!$B$3)^R124)</f>
        <v>181670068.71834233</v>
      </c>
      <c r="T124">
        <f t="shared" si="20"/>
        <v>1</v>
      </c>
      <c r="U124">
        <f t="shared" si="21"/>
        <v>8</v>
      </c>
      <c r="V124">
        <f t="shared" si="22"/>
        <v>196.25</v>
      </c>
      <c r="W124">
        <f t="shared" si="23"/>
        <v>9230950.1411100645</v>
      </c>
      <c r="X124">
        <f t="shared" si="24"/>
        <v>42739299.153339595</v>
      </c>
    </row>
    <row r="125" spans="1:24" x14ac:dyDescent="0.2">
      <c r="A125" t="s">
        <v>15</v>
      </c>
      <c r="B125">
        <v>2018</v>
      </c>
      <c r="C125" t="s">
        <v>9</v>
      </c>
      <c r="D125" s="1">
        <v>43281</v>
      </c>
      <c r="E125" s="14">
        <v>0</v>
      </c>
      <c r="F125" t="s">
        <v>12</v>
      </c>
      <c r="G125" t="str">
        <f t="shared" si="25"/>
        <v>no repurchases reported</v>
      </c>
      <c r="H125" t="str">
        <f t="shared" si="13"/>
        <v>JBLU-2018-Q2</v>
      </c>
      <c r="I125" s="3">
        <f>_xlfn.XLOOKUP(H125,prices!A:A,prices!F:F,"no match")</f>
        <v>19.25</v>
      </c>
      <c r="J125">
        <f>_xlfn.XLOOKUP(A125,current!$A:$A,current!$B:$B,"no match")</f>
        <v>4.63</v>
      </c>
      <c r="K125">
        <f t="shared" si="14"/>
        <v>0</v>
      </c>
      <c r="L125">
        <f t="shared" si="15"/>
        <v>0</v>
      </c>
      <c r="M125">
        <f t="shared" si="16"/>
        <v>0</v>
      </c>
      <c r="N125" t="str">
        <f t="shared" si="17"/>
        <v>SPY-2018-Q2</v>
      </c>
      <c r="O125">
        <f>_xlfn.XLOOKUP(N125,prices!$A:$A,prices!$F:$F,"no match")</f>
        <v>238.21</v>
      </c>
      <c r="P125">
        <f t="shared" si="18"/>
        <v>0</v>
      </c>
      <c r="Q125">
        <f>IF(P125="","",P125*assumptions!$B$4)</f>
        <v>0</v>
      </c>
      <c r="R125" s="10">
        <f t="shared" ca="1" si="19"/>
        <v>8.1916495550992465</v>
      </c>
      <c r="S125">
        <f ca="1">IF(E125="","",E125*1000000*(1+assumptions!$B$3)^R125)</f>
        <v>0</v>
      </c>
      <c r="T125">
        <f t="shared" si="20"/>
        <v>0</v>
      </c>
      <c r="U125">
        <f t="shared" si="21"/>
        <v>8</v>
      </c>
      <c r="V125">
        <f t="shared" si="22"/>
        <v>0</v>
      </c>
      <c r="W125">
        <f t="shared" si="23"/>
        <v>0</v>
      </c>
      <c r="X125">
        <f t="shared" si="24"/>
        <v>0</v>
      </c>
    </row>
    <row r="126" spans="1:24" x14ac:dyDescent="0.2">
      <c r="A126" t="s">
        <v>15</v>
      </c>
      <c r="B126">
        <v>2018</v>
      </c>
      <c r="C126" t="s">
        <v>10</v>
      </c>
      <c r="D126" s="1">
        <v>43373</v>
      </c>
      <c r="E126" s="14">
        <v>0</v>
      </c>
      <c r="F126" t="s">
        <v>12</v>
      </c>
      <c r="G126" t="str">
        <f t="shared" si="25"/>
        <v>no repurchases reported</v>
      </c>
      <c r="H126" t="str">
        <f t="shared" si="13"/>
        <v>JBLU-2018-Q3</v>
      </c>
      <c r="I126" s="3">
        <f>_xlfn.XLOOKUP(H126,prices!A:A,prices!F:F,"no match")</f>
        <v>18.96</v>
      </c>
      <c r="J126">
        <f>_xlfn.XLOOKUP(A126,current!$A:$A,current!$B:$B,"no match")</f>
        <v>4.63</v>
      </c>
      <c r="K126">
        <f t="shared" si="14"/>
        <v>0</v>
      </c>
      <c r="L126">
        <f t="shared" si="15"/>
        <v>0</v>
      </c>
      <c r="M126">
        <f t="shared" si="16"/>
        <v>0</v>
      </c>
      <c r="N126" t="str">
        <f t="shared" si="17"/>
        <v>SPY-2018-Q3</v>
      </c>
      <c r="O126">
        <f>_xlfn.XLOOKUP(N126,prices!$A:$A,prices!$F:$F,"no match")</f>
        <v>252.23</v>
      </c>
      <c r="P126">
        <f t="shared" si="18"/>
        <v>0</v>
      </c>
      <c r="Q126">
        <f>IF(P126="","",P126*assumptions!$B$4)</f>
        <v>0</v>
      </c>
      <c r="R126" s="10">
        <f t="shared" ca="1" si="19"/>
        <v>7.9397672826830936</v>
      </c>
      <c r="S126">
        <f ca="1">IF(E126="","",E126*1000000*(1+assumptions!$B$3)^R126)</f>
        <v>0</v>
      </c>
      <c r="T126">
        <f t="shared" si="20"/>
        <v>0</v>
      </c>
      <c r="U126">
        <f t="shared" si="21"/>
        <v>8</v>
      </c>
      <c r="V126">
        <f t="shared" si="22"/>
        <v>0</v>
      </c>
      <c r="W126">
        <f t="shared" si="23"/>
        <v>0</v>
      </c>
      <c r="X126">
        <f t="shared" si="24"/>
        <v>0</v>
      </c>
    </row>
    <row r="127" spans="1:24" x14ac:dyDescent="0.2">
      <c r="A127" t="s">
        <v>15</v>
      </c>
      <c r="B127">
        <v>2018</v>
      </c>
      <c r="C127" t="s">
        <v>11</v>
      </c>
      <c r="D127" s="1">
        <v>43465</v>
      </c>
      <c r="E127" s="14">
        <v>244</v>
      </c>
      <c r="F127" t="s">
        <v>8</v>
      </c>
      <c r="G127" t="str">
        <f t="shared" si="25"/>
        <v/>
      </c>
      <c r="H127" t="str">
        <f t="shared" si="13"/>
        <v>JBLU-2018-Q4</v>
      </c>
      <c r="I127" s="3">
        <f>_xlfn.XLOOKUP(H127,prices!A:A,prices!F:F,"no match")</f>
        <v>17.43</v>
      </c>
      <c r="J127">
        <f>_xlfn.XLOOKUP(A127,current!$A:$A,current!$B:$B,"no match")</f>
        <v>4.63</v>
      </c>
      <c r="K127">
        <f t="shared" si="14"/>
        <v>13998852.55306942</v>
      </c>
      <c r="L127">
        <f t="shared" si="15"/>
        <v>64814687.320711412</v>
      </c>
      <c r="M127">
        <f t="shared" si="16"/>
        <v>10605460</v>
      </c>
      <c r="N127" t="str">
        <f t="shared" si="17"/>
        <v>SPY-2018-Q4</v>
      </c>
      <c r="O127">
        <f>_xlfn.XLOOKUP(N127,prices!$A:$A,prices!$F:$F,"no match")</f>
        <v>239.95</v>
      </c>
      <c r="P127">
        <f t="shared" si="18"/>
        <v>1016878.5163575745</v>
      </c>
      <c r="Q127">
        <f>IF(P127="","",P127*assumptions!$B$4)</f>
        <v>783189664.51344037</v>
      </c>
      <c r="R127" s="10">
        <f t="shared" ca="1" si="19"/>
        <v>7.6878850102669407</v>
      </c>
      <c r="S127">
        <f ca="1">IF(E127="","",E127*1000000*(1+assumptions!$B$3)^R127)</f>
        <v>328650728.28722668</v>
      </c>
      <c r="T127">
        <f t="shared" si="20"/>
        <v>1</v>
      </c>
      <c r="U127">
        <f t="shared" si="21"/>
        <v>8</v>
      </c>
      <c r="V127">
        <f t="shared" si="22"/>
        <v>196.25</v>
      </c>
      <c r="W127">
        <f t="shared" si="23"/>
        <v>11259323.006310958</v>
      </c>
      <c r="X127">
        <f t="shared" si="24"/>
        <v>52130665.519219734</v>
      </c>
    </row>
    <row r="128" spans="1:24" x14ac:dyDescent="0.2">
      <c r="A128" t="s">
        <v>15</v>
      </c>
      <c r="B128">
        <v>2019</v>
      </c>
      <c r="C128" t="s">
        <v>7</v>
      </c>
      <c r="D128" s="1">
        <v>43555</v>
      </c>
      <c r="E128" s="14">
        <v>0</v>
      </c>
      <c r="F128" t="s">
        <v>12</v>
      </c>
      <c r="G128" t="str">
        <f t="shared" si="25"/>
        <v>no repurchases reported</v>
      </c>
      <c r="H128" t="str">
        <f t="shared" ref="H128:H189" si="26">A128&amp;"-"&amp;B128&amp;"-"&amp;C128</f>
        <v>JBLU-2019-Q1</v>
      </c>
      <c r="I128" s="3">
        <f>_xlfn.XLOOKUP(H128,prices!A:A,prices!F:F,"no match")</f>
        <v>17.12</v>
      </c>
      <c r="J128">
        <f>_xlfn.XLOOKUP(A128,current!$A:$A,current!$B:$B,"no match")</f>
        <v>4.63</v>
      </c>
      <c r="K128">
        <f t="shared" ref="K128:K189" si="27">IF(E128="","",E128*1000000/I128)</f>
        <v>0</v>
      </c>
      <c r="L128">
        <f t="shared" ref="L128:L189" si="28">IF(K128="","",K128*J128)</f>
        <v>0</v>
      </c>
      <c r="M128">
        <f t="shared" ref="M128:M189" si="29">IF(E128="","",E128*D128)</f>
        <v>0</v>
      </c>
      <c r="N128" t="str">
        <f t="shared" ref="N128:N189" si="30">"SPY-"&amp;B128&amp;"-"&amp;C128</f>
        <v>SPY-2019-Q1</v>
      </c>
      <c r="O128">
        <f>_xlfn.XLOOKUP(N128,prices!$A:$A,prices!$F:$F,"no match")</f>
        <v>243.24</v>
      </c>
      <c r="P128">
        <f t="shared" ref="P128:P189" si="31">IF(E128="","",E128*1000000/O128)</f>
        <v>0</v>
      </c>
      <c r="Q128">
        <f>IF(P128="","",P128*assumptions!$B$4)</f>
        <v>0</v>
      </c>
      <c r="R128" s="10">
        <f t="shared" ref="R128:R189" ca="1" si="32">IF(E128="","",(TODAY()-D128)/365.25)</f>
        <v>7.4414784394250511</v>
      </c>
      <c r="S128">
        <f ca="1">IF(E128="","",E128*1000000*(1+assumptions!$B$3)^R128)</f>
        <v>0</v>
      </c>
      <c r="T128">
        <f t="shared" ref="T128:T189" si="33">IF(E128="",0,IF(E128&gt;0,1,0))</f>
        <v>0</v>
      </c>
      <c r="U128">
        <f t="shared" si="21"/>
        <v>8</v>
      </c>
      <c r="V128">
        <f t="shared" si="22"/>
        <v>0</v>
      </c>
      <c r="W128">
        <f t="shared" ref="W128:W189" si="34">IF(V128=0,0,V128*1000000/I128)</f>
        <v>0</v>
      </c>
      <c r="X128">
        <f t="shared" ref="X128:X189" si="35">IF(W128=0,0,W128*J128)</f>
        <v>0</v>
      </c>
    </row>
    <row r="129" spans="1:24" x14ac:dyDescent="0.2">
      <c r="A129" t="s">
        <v>15</v>
      </c>
      <c r="B129">
        <v>2019</v>
      </c>
      <c r="C129" t="s">
        <v>9</v>
      </c>
      <c r="D129" s="1">
        <v>43646</v>
      </c>
      <c r="E129" s="14">
        <v>0</v>
      </c>
      <c r="F129" t="s">
        <v>12</v>
      </c>
      <c r="G129" t="str">
        <f t="shared" ref="G129:G190" si="36">IF(F129&lt;&gt;"missing","",IF(D129&gt;DATE(2026,6,30),"not yet filed","no repurchases reported"))</f>
        <v>no repurchases reported</v>
      </c>
      <c r="H129" t="str">
        <f t="shared" si="26"/>
        <v>JBLU-2019-Q2</v>
      </c>
      <c r="I129" s="3">
        <f>_xlfn.XLOOKUP(H129,prices!A:A,prices!F:F,"no match")</f>
        <v>17.88</v>
      </c>
      <c r="J129">
        <f>_xlfn.XLOOKUP(A129,current!$A:$A,current!$B:$B,"no match")</f>
        <v>4.63</v>
      </c>
      <c r="K129">
        <f t="shared" si="27"/>
        <v>0</v>
      </c>
      <c r="L129">
        <f t="shared" si="28"/>
        <v>0</v>
      </c>
      <c r="M129">
        <f t="shared" si="29"/>
        <v>0</v>
      </c>
      <c r="N129" t="str">
        <f t="shared" si="30"/>
        <v>SPY-2019-Q2</v>
      </c>
      <c r="O129">
        <f>_xlfn.XLOOKUP(N129,prices!$A:$A,prices!$F:$F,"no match")</f>
        <v>258.86</v>
      </c>
      <c r="P129">
        <f t="shared" si="31"/>
        <v>0</v>
      </c>
      <c r="Q129">
        <f>IF(P129="","",P129*assumptions!$B$4)</f>
        <v>0</v>
      </c>
      <c r="R129" s="10">
        <f t="shared" ca="1" si="32"/>
        <v>7.1923340177960302</v>
      </c>
      <c r="S129">
        <f ca="1">IF(E129="","",E129*1000000*(1+assumptions!$B$3)^R129)</f>
        <v>0</v>
      </c>
      <c r="T129">
        <f t="shared" si="33"/>
        <v>0</v>
      </c>
      <c r="U129">
        <f t="shared" si="21"/>
        <v>8</v>
      </c>
      <c r="V129">
        <f t="shared" si="22"/>
        <v>0</v>
      </c>
      <c r="W129">
        <f t="shared" si="34"/>
        <v>0</v>
      </c>
      <c r="X129">
        <f t="shared" si="35"/>
        <v>0</v>
      </c>
    </row>
    <row r="130" spans="1:24" x14ac:dyDescent="0.2">
      <c r="A130" t="s">
        <v>15</v>
      </c>
      <c r="B130">
        <v>2019</v>
      </c>
      <c r="C130" t="s">
        <v>10</v>
      </c>
      <c r="D130" s="1">
        <v>43738</v>
      </c>
      <c r="E130" s="14">
        <v>0</v>
      </c>
      <c r="F130" t="s">
        <v>12</v>
      </c>
      <c r="G130" t="str">
        <f t="shared" si="36"/>
        <v>no repurchases reported</v>
      </c>
      <c r="H130" t="str">
        <f t="shared" si="26"/>
        <v>JBLU-2019-Q3</v>
      </c>
      <c r="I130" s="3">
        <f>_xlfn.XLOOKUP(H130,prices!A:A,prices!F:F,"no match")</f>
        <v>18.14</v>
      </c>
      <c r="J130">
        <f>_xlfn.XLOOKUP(A130,current!$A:$A,current!$B:$B,"no match")</f>
        <v>4.63</v>
      </c>
      <c r="K130">
        <f t="shared" si="27"/>
        <v>0</v>
      </c>
      <c r="L130">
        <f t="shared" si="28"/>
        <v>0</v>
      </c>
      <c r="M130">
        <f t="shared" si="29"/>
        <v>0</v>
      </c>
      <c r="N130" t="str">
        <f t="shared" si="30"/>
        <v>SPY-2019-Q3</v>
      </c>
      <c r="O130">
        <f>_xlfn.XLOOKUP(N130,prices!$A:$A,prices!$F:$F,"no match")</f>
        <v>266.92</v>
      </c>
      <c r="P130">
        <f t="shared" si="31"/>
        <v>0</v>
      </c>
      <c r="Q130">
        <f>IF(P130="","",P130*assumptions!$B$4)</f>
        <v>0</v>
      </c>
      <c r="R130" s="10">
        <f t="shared" ca="1" si="32"/>
        <v>6.9404517453798764</v>
      </c>
      <c r="S130">
        <f ca="1">IF(E130="","",E130*1000000*(1+assumptions!$B$3)^R130)</f>
        <v>0</v>
      </c>
      <c r="T130">
        <f t="shared" si="33"/>
        <v>0</v>
      </c>
      <c r="U130">
        <f t="shared" ref="U130:U193" si="37">SUMIFS($T:$T,$A:$A,$A130)</f>
        <v>8</v>
      </c>
      <c r="V130">
        <f t="shared" ref="V130:V193" si="38">IF(T130=0,0,SUMIFS($E:$E,$A:$A,$A130)/U130)</f>
        <v>0</v>
      </c>
      <c r="W130">
        <f t="shared" si="34"/>
        <v>0</v>
      </c>
      <c r="X130">
        <f t="shared" si="35"/>
        <v>0</v>
      </c>
    </row>
    <row r="131" spans="1:24" x14ac:dyDescent="0.2">
      <c r="A131" t="s">
        <v>15</v>
      </c>
      <c r="B131">
        <v>2019</v>
      </c>
      <c r="C131" t="s">
        <v>11</v>
      </c>
      <c r="D131" s="1">
        <v>43830</v>
      </c>
      <c r="E131" s="14">
        <v>535</v>
      </c>
      <c r="F131" t="s">
        <v>8</v>
      </c>
      <c r="G131" t="str">
        <f t="shared" si="36"/>
        <v/>
      </c>
      <c r="H131" t="str">
        <f t="shared" si="26"/>
        <v>JBLU-2019-Q4</v>
      </c>
      <c r="I131" s="3">
        <f>_xlfn.XLOOKUP(H131,prices!A:A,prices!F:F,"no match")</f>
        <v>18.579999999999998</v>
      </c>
      <c r="J131">
        <f>_xlfn.XLOOKUP(A131,current!$A:$A,current!$B:$B,"no match")</f>
        <v>4.63</v>
      </c>
      <c r="K131">
        <f t="shared" si="27"/>
        <v>28794402.583423037</v>
      </c>
      <c r="L131">
        <f t="shared" si="28"/>
        <v>133318083.96124867</v>
      </c>
      <c r="M131">
        <f t="shared" si="29"/>
        <v>23449050</v>
      </c>
      <c r="N131" t="str">
        <f t="shared" si="30"/>
        <v>SPY-2019-Q4</v>
      </c>
      <c r="O131">
        <f>_xlfn.XLOOKUP(N131,prices!$A:$A,prices!$F:$F,"no match")</f>
        <v>279.45999999999998</v>
      </c>
      <c r="P131">
        <f t="shared" si="31"/>
        <v>1914406.3551134332</v>
      </c>
      <c r="Q131">
        <f>IF(P131="","",P131*assumptions!$B$4)</f>
        <v>1474456630.6448152</v>
      </c>
      <c r="R131" s="10">
        <f t="shared" ca="1" si="32"/>
        <v>6.6885694729637235</v>
      </c>
      <c r="S131">
        <f ca="1">IF(E131="","",E131*1000000*(1+assumptions!$B$3)^R131)</f>
        <v>693243133.71297181</v>
      </c>
      <c r="T131">
        <f t="shared" si="33"/>
        <v>1</v>
      </c>
      <c r="U131">
        <f t="shared" si="37"/>
        <v>8</v>
      </c>
      <c r="V131">
        <f t="shared" si="38"/>
        <v>196.25</v>
      </c>
      <c r="W131">
        <f t="shared" si="34"/>
        <v>10562432.72335845</v>
      </c>
      <c r="X131">
        <f t="shared" si="35"/>
        <v>48904063.509149626</v>
      </c>
    </row>
    <row r="132" spans="1:24" x14ac:dyDescent="0.2">
      <c r="A132" t="s">
        <v>15</v>
      </c>
      <c r="B132">
        <v>2020</v>
      </c>
      <c r="C132" t="s">
        <v>7</v>
      </c>
      <c r="D132" s="1">
        <v>43921</v>
      </c>
      <c r="E132" s="14">
        <v>0</v>
      </c>
      <c r="F132" t="s">
        <v>12</v>
      </c>
      <c r="G132" t="str">
        <f t="shared" si="36"/>
        <v>no repurchases reported</v>
      </c>
      <c r="H132" t="str">
        <f t="shared" si="26"/>
        <v>JBLU-2020-Q1</v>
      </c>
      <c r="I132" s="3">
        <f>_xlfn.XLOOKUP(H132,prices!A:A,prices!F:F,"no match")</f>
        <v>16.579999999999998</v>
      </c>
      <c r="J132">
        <f>_xlfn.XLOOKUP(A132,current!$A:$A,current!$B:$B,"no match")</f>
        <v>4.63</v>
      </c>
      <c r="K132">
        <f t="shared" si="27"/>
        <v>0</v>
      </c>
      <c r="L132">
        <f t="shared" si="28"/>
        <v>0</v>
      </c>
      <c r="M132">
        <f t="shared" si="29"/>
        <v>0</v>
      </c>
      <c r="N132" t="str">
        <f t="shared" si="30"/>
        <v>SPY-2020-Q1</v>
      </c>
      <c r="O132">
        <f>_xlfn.XLOOKUP(N132,prices!$A:$A,prices!$F:$F,"no match")</f>
        <v>278.20999999999998</v>
      </c>
      <c r="P132">
        <f t="shared" si="31"/>
        <v>0</v>
      </c>
      <c r="Q132">
        <f>IF(P132="","",P132*assumptions!$B$4)</f>
        <v>0</v>
      </c>
      <c r="R132" s="10">
        <f t="shared" ca="1" si="32"/>
        <v>6.4394250513347027</v>
      </c>
      <c r="S132">
        <f ca="1">IF(E132="","",E132*1000000*(1+assumptions!$B$3)^R132)</f>
        <v>0</v>
      </c>
      <c r="T132">
        <f t="shared" si="33"/>
        <v>0</v>
      </c>
      <c r="U132">
        <f t="shared" si="37"/>
        <v>8</v>
      </c>
      <c r="V132">
        <f t="shared" si="38"/>
        <v>0</v>
      </c>
      <c r="W132">
        <f t="shared" si="34"/>
        <v>0</v>
      </c>
      <c r="X132">
        <f t="shared" si="35"/>
        <v>0</v>
      </c>
    </row>
    <row r="133" spans="1:24" x14ac:dyDescent="0.2">
      <c r="A133" t="s">
        <v>15</v>
      </c>
      <c r="B133">
        <v>2020</v>
      </c>
      <c r="C133" t="s">
        <v>9</v>
      </c>
      <c r="D133" s="1">
        <v>44012</v>
      </c>
      <c r="E133" s="14">
        <v>0</v>
      </c>
      <c r="F133" t="s">
        <v>12</v>
      </c>
      <c r="G133" t="str">
        <f t="shared" si="36"/>
        <v>no repurchases reported</v>
      </c>
      <c r="H133" t="str">
        <f t="shared" si="26"/>
        <v>JBLU-2020-Q2</v>
      </c>
      <c r="I133" s="3">
        <f>_xlfn.XLOOKUP(H133,prices!A:A,prices!F:F,"no match")</f>
        <v>9.85</v>
      </c>
      <c r="J133">
        <f>_xlfn.XLOOKUP(A133,current!$A:$A,current!$B:$B,"no match")</f>
        <v>4.63</v>
      </c>
      <c r="K133">
        <f t="shared" si="27"/>
        <v>0</v>
      </c>
      <c r="L133">
        <f t="shared" si="28"/>
        <v>0</v>
      </c>
      <c r="M133">
        <f t="shared" si="29"/>
        <v>0</v>
      </c>
      <c r="N133" t="str">
        <f t="shared" si="30"/>
        <v>SPY-2020-Q2</v>
      </c>
      <c r="O133">
        <f>_xlfn.XLOOKUP(N133,prices!$A:$A,prices!$F:$F,"no match")</f>
        <v>268.52999999999997</v>
      </c>
      <c r="P133">
        <f t="shared" si="31"/>
        <v>0</v>
      </c>
      <c r="Q133">
        <f>IF(P133="","",P133*assumptions!$B$4)</f>
        <v>0</v>
      </c>
      <c r="R133" s="10">
        <f t="shared" ca="1" si="32"/>
        <v>6.1902806297056809</v>
      </c>
      <c r="S133">
        <f ca="1">IF(E133="","",E133*1000000*(1+assumptions!$B$3)^R133)</f>
        <v>0</v>
      </c>
      <c r="T133">
        <f t="shared" si="33"/>
        <v>0</v>
      </c>
      <c r="U133">
        <f t="shared" si="37"/>
        <v>8</v>
      </c>
      <c r="V133">
        <f t="shared" si="38"/>
        <v>0</v>
      </c>
      <c r="W133">
        <f t="shared" si="34"/>
        <v>0</v>
      </c>
      <c r="X133">
        <f t="shared" si="35"/>
        <v>0</v>
      </c>
    </row>
    <row r="134" spans="1:24" x14ac:dyDescent="0.2">
      <c r="A134" t="s">
        <v>15</v>
      </c>
      <c r="B134">
        <v>2020</v>
      </c>
      <c r="C134" t="s">
        <v>10</v>
      </c>
      <c r="D134" s="1">
        <v>44104</v>
      </c>
      <c r="E134" s="14">
        <v>0</v>
      </c>
      <c r="F134" t="s">
        <v>12</v>
      </c>
      <c r="G134" t="str">
        <f t="shared" si="36"/>
        <v>no repurchases reported</v>
      </c>
      <c r="H134" t="str">
        <f t="shared" si="26"/>
        <v>JBLU-2020-Q3</v>
      </c>
      <c r="I134" s="3">
        <f>_xlfn.XLOOKUP(H134,prices!A:A,prices!F:F,"no match")</f>
        <v>11.22</v>
      </c>
      <c r="J134">
        <f>_xlfn.XLOOKUP(A134,current!$A:$A,current!$B:$B,"no match")</f>
        <v>4.63</v>
      </c>
      <c r="K134">
        <f t="shared" si="27"/>
        <v>0</v>
      </c>
      <c r="L134">
        <f t="shared" si="28"/>
        <v>0</v>
      </c>
      <c r="M134">
        <f t="shared" si="29"/>
        <v>0</v>
      </c>
      <c r="N134" t="str">
        <f t="shared" si="30"/>
        <v>SPY-2020-Q3</v>
      </c>
      <c r="O134">
        <f>_xlfn.XLOOKUP(N134,prices!$A:$A,prices!$F:$F,"no match")</f>
        <v>305.37</v>
      </c>
      <c r="P134">
        <f t="shared" si="31"/>
        <v>0</v>
      </c>
      <c r="Q134">
        <f>IF(P134="","",P134*assumptions!$B$4)</f>
        <v>0</v>
      </c>
      <c r="R134" s="10">
        <f t="shared" ca="1" si="32"/>
        <v>5.938398357289528</v>
      </c>
      <c r="S134">
        <f ca="1">IF(E134="","",E134*1000000*(1+assumptions!$B$3)^R134)</f>
        <v>0</v>
      </c>
      <c r="T134">
        <f t="shared" si="33"/>
        <v>0</v>
      </c>
      <c r="U134">
        <f t="shared" si="37"/>
        <v>8</v>
      </c>
      <c r="V134">
        <f t="shared" si="38"/>
        <v>0</v>
      </c>
      <c r="W134">
        <f t="shared" si="34"/>
        <v>0</v>
      </c>
      <c r="X134">
        <f t="shared" si="35"/>
        <v>0</v>
      </c>
    </row>
    <row r="135" spans="1:24" x14ac:dyDescent="0.2">
      <c r="A135" t="s">
        <v>15</v>
      </c>
      <c r="B135">
        <v>2020</v>
      </c>
      <c r="C135" t="s">
        <v>11</v>
      </c>
      <c r="D135" s="1">
        <v>44196</v>
      </c>
      <c r="E135" s="14">
        <v>160</v>
      </c>
      <c r="F135" t="s">
        <v>8</v>
      </c>
      <c r="G135" t="str">
        <f t="shared" si="36"/>
        <v/>
      </c>
      <c r="H135" t="str">
        <f t="shared" si="26"/>
        <v>JBLU-2020-Q4</v>
      </c>
      <c r="I135" s="3">
        <f>_xlfn.XLOOKUP(H135,prices!A:A,prices!F:F,"no match")</f>
        <v>13.72</v>
      </c>
      <c r="J135">
        <f>_xlfn.XLOOKUP(A135,current!$A:$A,current!$B:$B,"no match")</f>
        <v>4.63</v>
      </c>
      <c r="K135">
        <f t="shared" si="27"/>
        <v>11661807.580174927</v>
      </c>
      <c r="L135">
        <f t="shared" si="28"/>
        <v>53994169.096209906</v>
      </c>
      <c r="M135">
        <f t="shared" si="29"/>
        <v>7071360</v>
      </c>
      <c r="N135" t="str">
        <f t="shared" si="30"/>
        <v>SPY-2020-Q4</v>
      </c>
      <c r="O135">
        <f>_xlfn.XLOOKUP(N135,prices!$A:$A,prices!$F:$F,"no match")</f>
        <v>328.23</v>
      </c>
      <c r="P135">
        <f t="shared" si="31"/>
        <v>487463.05944002676</v>
      </c>
      <c r="Q135">
        <f>IF(P135="","",P135*assumptions!$B$4)</f>
        <v>375439173.75011426</v>
      </c>
      <c r="R135" s="10">
        <f t="shared" ca="1" si="32"/>
        <v>5.6865160848733742</v>
      </c>
      <c r="S135">
        <f ca="1">IF(E135="","",E135*1000000*(1+assumptions!$B$3)^R135)</f>
        <v>199431031.9556917</v>
      </c>
      <c r="T135">
        <f t="shared" si="33"/>
        <v>1</v>
      </c>
      <c r="U135">
        <f t="shared" si="37"/>
        <v>8</v>
      </c>
      <c r="V135">
        <f t="shared" si="38"/>
        <v>196.25</v>
      </c>
      <c r="W135">
        <f t="shared" si="34"/>
        <v>14303935.860058308</v>
      </c>
      <c r="X135">
        <f t="shared" si="35"/>
        <v>66227223.032069966</v>
      </c>
    </row>
    <row r="136" spans="1:24" x14ac:dyDescent="0.2">
      <c r="A136" t="s">
        <v>16</v>
      </c>
      <c r="B136">
        <v>2015</v>
      </c>
      <c r="C136" t="s">
        <v>7</v>
      </c>
      <c r="D136" s="1">
        <v>42094</v>
      </c>
      <c r="E136" s="14">
        <v>300</v>
      </c>
      <c r="F136" t="s">
        <v>8</v>
      </c>
      <c r="G136" t="str">
        <f t="shared" si="36"/>
        <v/>
      </c>
      <c r="H136" t="str">
        <f t="shared" si="26"/>
        <v>LUV-2015-Q1</v>
      </c>
      <c r="I136" s="3">
        <f>_xlfn.XLOOKUP(H136,prices!A:A,prices!F:F,"no match")</f>
        <v>38.090000000000003</v>
      </c>
      <c r="J136">
        <f>_xlfn.XLOOKUP(A136,current!$A:$A,current!$B:$B,"no match")</f>
        <v>39.619999999999997</v>
      </c>
      <c r="K136">
        <f t="shared" si="27"/>
        <v>7876082.961407193</v>
      </c>
      <c r="L136">
        <f t="shared" si="28"/>
        <v>312050406.93095297</v>
      </c>
      <c r="M136">
        <f t="shared" si="29"/>
        <v>12628200</v>
      </c>
      <c r="N136" t="str">
        <f t="shared" si="30"/>
        <v>SPY-2015-Q1</v>
      </c>
      <c r="O136">
        <f>_xlfn.XLOOKUP(N136,prices!$A:$A,prices!$F:$F,"no match")</f>
        <v>170.57</v>
      </c>
      <c r="P136">
        <f t="shared" si="31"/>
        <v>1758808.7002403706</v>
      </c>
      <c r="Q136">
        <f>IF(P136="","",P136*assumptions!$B$4)</f>
        <v>1354616872.8381312</v>
      </c>
      <c r="R136" s="10">
        <f t="shared" ca="1" si="32"/>
        <v>11.441478439425051</v>
      </c>
      <c r="S136">
        <f ca="1">IF(E136="","",E136*1000000*(1+assumptions!$B$3)^R136)</f>
        <v>467324270.03029996</v>
      </c>
      <c r="T136">
        <f t="shared" si="33"/>
        <v>1</v>
      </c>
      <c r="U136">
        <f t="shared" si="37"/>
        <v>26</v>
      </c>
      <c r="V136">
        <f t="shared" si="38"/>
        <v>501.19230769230768</v>
      </c>
      <c r="W136">
        <f t="shared" si="34"/>
        <v>13158107.316679118</v>
      </c>
      <c r="X136">
        <f t="shared" si="35"/>
        <v>521324211.88682663</v>
      </c>
    </row>
    <row r="137" spans="1:24" x14ac:dyDescent="0.2">
      <c r="A137" t="s">
        <v>16</v>
      </c>
      <c r="B137">
        <v>2015</v>
      </c>
      <c r="C137" t="s">
        <v>9</v>
      </c>
      <c r="D137" s="1">
        <v>42185</v>
      </c>
      <c r="E137" s="14">
        <v>380</v>
      </c>
      <c r="F137" t="s">
        <v>8</v>
      </c>
      <c r="G137" t="str">
        <f t="shared" si="36"/>
        <v/>
      </c>
      <c r="H137" t="str">
        <f t="shared" si="26"/>
        <v>LUV-2015-Q2</v>
      </c>
      <c r="I137" s="3">
        <f>_xlfn.XLOOKUP(H137,prices!A:A,prices!F:F,"no match")</f>
        <v>34.15</v>
      </c>
      <c r="J137">
        <f>_xlfn.XLOOKUP(A137,current!$A:$A,current!$B:$B,"no match")</f>
        <v>39.619999999999997</v>
      </c>
      <c r="K137">
        <f t="shared" si="27"/>
        <v>11127379.209370425</v>
      </c>
      <c r="L137">
        <f t="shared" si="28"/>
        <v>440866764.27525622</v>
      </c>
      <c r="M137">
        <f t="shared" si="29"/>
        <v>16030300</v>
      </c>
      <c r="N137" t="str">
        <f t="shared" si="30"/>
        <v>SPY-2015-Q2</v>
      </c>
      <c r="O137">
        <f>_xlfn.XLOOKUP(N137,prices!$A:$A,prices!$F:$F,"no match")</f>
        <v>174.56</v>
      </c>
      <c r="P137">
        <f t="shared" si="31"/>
        <v>2176901.9248395967</v>
      </c>
      <c r="Q137">
        <f>IF(P137="","",P137*assumptions!$B$4)</f>
        <v>1676628093.4922092</v>
      </c>
      <c r="R137" s="10">
        <f t="shared" ca="1" si="32"/>
        <v>11.19233401779603</v>
      </c>
      <c r="S137">
        <f ca="1">IF(E137="","",E137*1000000*(1+assumptions!$B$3)^R137)</f>
        <v>586258225.8861773</v>
      </c>
      <c r="T137">
        <f t="shared" si="33"/>
        <v>1</v>
      </c>
      <c r="U137">
        <f t="shared" si="37"/>
        <v>26</v>
      </c>
      <c r="V137">
        <f t="shared" si="38"/>
        <v>501.19230769230768</v>
      </c>
      <c r="W137">
        <f t="shared" si="34"/>
        <v>14676202.275030971</v>
      </c>
      <c r="X137">
        <f t="shared" si="35"/>
        <v>581471134.13672698</v>
      </c>
    </row>
    <row r="138" spans="1:24" x14ac:dyDescent="0.2">
      <c r="A138" t="s">
        <v>16</v>
      </c>
      <c r="B138">
        <v>2015</v>
      </c>
      <c r="C138" t="s">
        <v>10</v>
      </c>
      <c r="D138" s="1">
        <v>42277</v>
      </c>
      <c r="E138" s="14">
        <v>500</v>
      </c>
      <c r="F138" t="s">
        <v>8</v>
      </c>
      <c r="G138" t="str">
        <f t="shared" si="36"/>
        <v/>
      </c>
      <c r="H138" t="str">
        <f t="shared" si="26"/>
        <v>LUV-2015-Q3</v>
      </c>
      <c r="I138" s="3">
        <f>_xlfn.XLOOKUP(H138,prices!A:A,prices!F:F,"no match")</f>
        <v>32.299999999999997</v>
      </c>
      <c r="J138">
        <f>_xlfn.XLOOKUP(A138,current!$A:$A,current!$B:$B,"no match")</f>
        <v>39.619999999999997</v>
      </c>
      <c r="K138">
        <f t="shared" si="27"/>
        <v>15479876.160990713</v>
      </c>
      <c r="L138">
        <f t="shared" si="28"/>
        <v>613312693.49845207</v>
      </c>
      <c r="M138">
        <f t="shared" si="29"/>
        <v>21138500</v>
      </c>
      <c r="N138" t="str">
        <f t="shared" si="30"/>
        <v>SPY-2015-Q3</v>
      </c>
      <c r="O138">
        <f>_xlfn.XLOOKUP(N138,prices!$A:$A,prices!$F:$F,"no match")</f>
        <v>169.23</v>
      </c>
      <c r="P138">
        <f t="shared" si="31"/>
        <v>2954558.8843585653</v>
      </c>
      <c r="Q138">
        <f>IF(P138="","",P138*assumptions!$B$4)</f>
        <v>2275571707.1441236</v>
      </c>
      <c r="R138" s="10">
        <f t="shared" ca="1" si="32"/>
        <v>10.940451745379876</v>
      </c>
      <c r="S138">
        <f ca="1">IF(E138="","",E138*1000000*(1+assumptions!$B$3)^R138)</f>
        <v>763901856.42410493</v>
      </c>
      <c r="T138">
        <f t="shared" si="33"/>
        <v>1</v>
      </c>
      <c r="U138">
        <f t="shared" si="37"/>
        <v>26</v>
      </c>
      <c r="V138">
        <f t="shared" si="38"/>
        <v>501.19230769230768</v>
      </c>
      <c r="W138">
        <f t="shared" si="34"/>
        <v>15516789.711836152</v>
      </c>
      <c r="X138">
        <f t="shared" si="35"/>
        <v>614775208.38294828</v>
      </c>
    </row>
    <row r="139" spans="1:24" x14ac:dyDescent="0.2">
      <c r="A139" t="s">
        <v>16</v>
      </c>
      <c r="B139">
        <v>2015</v>
      </c>
      <c r="C139" t="s">
        <v>11</v>
      </c>
      <c r="D139" s="1">
        <v>42369</v>
      </c>
      <c r="E139" s="14">
        <v>0</v>
      </c>
      <c r="F139" t="s">
        <v>8</v>
      </c>
      <c r="G139" t="str">
        <f t="shared" si="36"/>
        <v/>
      </c>
      <c r="H139" t="str">
        <f t="shared" si="26"/>
        <v>LUV-2015-Q4</v>
      </c>
      <c r="I139" s="3">
        <f>_xlfn.XLOOKUP(H139,prices!A:A,prices!F:F,"no match")</f>
        <v>38.81</v>
      </c>
      <c r="J139">
        <f>_xlfn.XLOOKUP(A139,current!$A:$A,current!$B:$B,"no match")</f>
        <v>39.619999999999997</v>
      </c>
      <c r="K139">
        <f t="shared" si="27"/>
        <v>0</v>
      </c>
      <c r="L139">
        <f t="shared" si="28"/>
        <v>0</v>
      </c>
      <c r="M139">
        <f t="shared" si="29"/>
        <v>0</v>
      </c>
      <c r="N139" t="str">
        <f t="shared" si="30"/>
        <v>SPY-2015-Q4</v>
      </c>
      <c r="O139">
        <f>_xlfn.XLOOKUP(N139,prices!$A:$A,prices!$F:$F,"no match")</f>
        <v>172.25</v>
      </c>
      <c r="P139">
        <f t="shared" si="31"/>
        <v>0</v>
      </c>
      <c r="Q139">
        <f>IF(P139="","",P139*assumptions!$B$4)</f>
        <v>0</v>
      </c>
      <c r="R139" s="10">
        <f t="shared" ca="1" si="32"/>
        <v>10.688569472963723</v>
      </c>
      <c r="S139">
        <f ca="1">IF(E139="","",E139*1000000*(1+assumptions!$B$3)^R139)</f>
        <v>0</v>
      </c>
      <c r="T139">
        <f t="shared" si="33"/>
        <v>0</v>
      </c>
      <c r="U139">
        <f t="shared" si="37"/>
        <v>26</v>
      </c>
      <c r="V139">
        <f t="shared" si="38"/>
        <v>0</v>
      </c>
      <c r="W139">
        <f t="shared" si="34"/>
        <v>0</v>
      </c>
      <c r="X139">
        <f t="shared" si="35"/>
        <v>0</v>
      </c>
    </row>
    <row r="140" spans="1:24" x14ac:dyDescent="0.2">
      <c r="A140" t="s">
        <v>16</v>
      </c>
      <c r="B140">
        <v>2016</v>
      </c>
      <c r="C140" t="s">
        <v>7</v>
      </c>
      <c r="D140" s="1">
        <v>42460</v>
      </c>
      <c r="E140" s="14">
        <v>500</v>
      </c>
      <c r="F140" t="s">
        <v>8</v>
      </c>
      <c r="G140" t="str">
        <f t="shared" si="36"/>
        <v/>
      </c>
      <c r="H140" t="str">
        <f t="shared" si="26"/>
        <v>LUV-2016-Q1</v>
      </c>
      <c r="I140" s="3">
        <f>_xlfn.XLOOKUP(H140,prices!A:A,prices!F:F,"no match")</f>
        <v>35.729999999999997</v>
      </c>
      <c r="J140">
        <f>_xlfn.XLOOKUP(A140,current!$A:$A,current!$B:$B,"no match")</f>
        <v>39.619999999999997</v>
      </c>
      <c r="K140">
        <f t="shared" si="27"/>
        <v>13993842.70920795</v>
      </c>
      <c r="L140">
        <f t="shared" si="28"/>
        <v>554436048.13881898</v>
      </c>
      <c r="M140">
        <f t="shared" si="29"/>
        <v>21230000</v>
      </c>
      <c r="N140" t="str">
        <f t="shared" si="30"/>
        <v>SPY-2016-Q1</v>
      </c>
      <c r="O140">
        <f>_xlfn.XLOOKUP(N140,prices!$A:$A,prices!$F:$F,"no match")</f>
        <v>164.64</v>
      </c>
      <c r="P140">
        <f t="shared" si="31"/>
        <v>3036929.0573372208</v>
      </c>
      <c r="Q140">
        <f>IF(P140="","",P140*assumptions!$B$4)</f>
        <v>2339012390.6705542</v>
      </c>
      <c r="R140" s="10">
        <f t="shared" ca="1" si="32"/>
        <v>10.439425051334702</v>
      </c>
      <c r="S140">
        <f ca="1">IF(E140="","",E140*1000000*(1+assumptions!$B$3)^R140)</f>
        <v>749217727.82358372</v>
      </c>
      <c r="T140">
        <f t="shared" si="33"/>
        <v>1</v>
      </c>
      <c r="U140">
        <f t="shared" si="37"/>
        <v>26</v>
      </c>
      <c r="V140">
        <f t="shared" si="38"/>
        <v>501.19230769230768</v>
      </c>
      <c r="W140">
        <f t="shared" si="34"/>
        <v>14027212.641822213</v>
      </c>
      <c r="X140">
        <f t="shared" si="35"/>
        <v>555758164.86899602</v>
      </c>
    </row>
    <row r="141" spans="1:24" x14ac:dyDescent="0.2">
      <c r="A141" t="s">
        <v>16</v>
      </c>
      <c r="B141">
        <v>2016</v>
      </c>
      <c r="C141" t="s">
        <v>9</v>
      </c>
      <c r="D141" s="1">
        <v>42551</v>
      </c>
      <c r="E141" s="14">
        <v>700</v>
      </c>
      <c r="F141" t="s">
        <v>8</v>
      </c>
      <c r="G141" t="str">
        <f t="shared" si="36"/>
        <v/>
      </c>
      <c r="H141" t="str">
        <f t="shared" si="26"/>
        <v>LUV-2016-Q2</v>
      </c>
      <c r="I141" s="3">
        <f>_xlfn.XLOOKUP(H141,prices!A:A,prices!F:F,"no match")</f>
        <v>37.64</v>
      </c>
      <c r="J141">
        <f>_xlfn.XLOOKUP(A141,current!$A:$A,current!$B:$B,"no match")</f>
        <v>39.619999999999997</v>
      </c>
      <c r="K141">
        <f t="shared" si="27"/>
        <v>18597236.981934112</v>
      </c>
      <c r="L141">
        <f t="shared" si="28"/>
        <v>736822529.22422945</v>
      </c>
      <c r="M141">
        <f t="shared" si="29"/>
        <v>29785700</v>
      </c>
      <c r="N141" t="str">
        <f t="shared" si="30"/>
        <v>SPY-2016-Q2</v>
      </c>
      <c r="O141">
        <f>_xlfn.XLOOKUP(N141,prices!$A:$A,prices!$F:$F,"no match")</f>
        <v>175.97</v>
      </c>
      <c r="P141">
        <f t="shared" si="31"/>
        <v>3977950.7870659772</v>
      </c>
      <c r="Q141">
        <f>IF(P141="","",P141*assumptions!$B$4)</f>
        <v>3063777916.6903453</v>
      </c>
      <c r="R141" s="10">
        <f t="shared" ca="1" si="32"/>
        <v>10.190280629705681</v>
      </c>
      <c r="S141">
        <f ca="1">IF(E141="","",E141*1000000*(1+assumptions!$B$3)^R141)</f>
        <v>1038829686.5657642</v>
      </c>
      <c r="T141">
        <f t="shared" si="33"/>
        <v>1</v>
      </c>
      <c r="U141">
        <f t="shared" si="37"/>
        <v>26</v>
      </c>
      <c r="V141">
        <f t="shared" si="38"/>
        <v>501.19230769230768</v>
      </c>
      <c r="W141">
        <f t="shared" si="34"/>
        <v>13315417.313823264</v>
      </c>
      <c r="X141">
        <f t="shared" si="35"/>
        <v>527556833.97367769</v>
      </c>
    </row>
    <row r="142" spans="1:24" x14ac:dyDescent="0.2">
      <c r="A142" t="s">
        <v>16</v>
      </c>
      <c r="B142">
        <v>2016</v>
      </c>
      <c r="C142" t="s">
        <v>10</v>
      </c>
      <c r="D142" s="1">
        <v>42643</v>
      </c>
      <c r="E142" s="14">
        <v>250</v>
      </c>
      <c r="F142" t="s">
        <v>8</v>
      </c>
      <c r="G142" t="str">
        <f t="shared" si="36"/>
        <v/>
      </c>
      <c r="H142" t="str">
        <f t="shared" si="26"/>
        <v>LUV-2016-Q3</v>
      </c>
      <c r="I142" s="3">
        <f>_xlfn.XLOOKUP(H142,prices!A:A,prices!F:F,"no match")</f>
        <v>33.53</v>
      </c>
      <c r="J142">
        <f>_xlfn.XLOOKUP(A142,current!$A:$A,current!$B:$B,"no match")</f>
        <v>39.619999999999997</v>
      </c>
      <c r="K142">
        <f t="shared" si="27"/>
        <v>7456009.5436922153</v>
      </c>
      <c r="L142">
        <f t="shared" si="28"/>
        <v>295407098.12108552</v>
      </c>
      <c r="M142">
        <f t="shared" si="29"/>
        <v>10660750</v>
      </c>
      <c r="N142" t="str">
        <f t="shared" si="30"/>
        <v>SPY-2016-Q3</v>
      </c>
      <c r="O142">
        <f>_xlfn.XLOOKUP(N142,prices!$A:$A,prices!$F:$F,"no match")</f>
        <v>184.28</v>
      </c>
      <c r="P142">
        <f t="shared" si="31"/>
        <v>1356631.2133709572</v>
      </c>
      <c r="Q142">
        <f>IF(P142="","",P142*assumptions!$B$4)</f>
        <v>1044863794.2261776</v>
      </c>
      <c r="R142" s="10">
        <f t="shared" ca="1" si="32"/>
        <v>9.9383983572895271</v>
      </c>
      <c r="S142">
        <f ca="1">IF(E142="","",E142*1000000*(1+assumptions!$B$3)^R142)</f>
        <v>367407932.68441451</v>
      </c>
      <c r="T142">
        <f t="shared" si="33"/>
        <v>1</v>
      </c>
      <c r="U142">
        <f t="shared" si="37"/>
        <v>26</v>
      </c>
      <c r="V142">
        <f t="shared" si="38"/>
        <v>501.19230769230768</v>
      </c>
      <c r="W142">
        <f t="shared" si="34"/>
        <v>14947578.517515885</v>
      </c>
      <c r="X142">
        <f t="shared" si="35"/>
        <v>592223060.86397934</v>
      </c>
    </row>
    <row r="143" spans="1:24" x14ac:dyDescent="0.2">
      <c r="A143" t="s">
        <v>16</v>
      </c>
      <c r="B143">
        <v>2016</v>
      </c>
      <c r="C143" t="s">
        <v>11</v>
      </c>
      <c r="D143" s="1">
        <v>42735</v>
      </c>
      <c r="E143" s="14">
        <v>300</v>
      </c>
      <c r="F143" t="s">
        <v>8</v>
      </c>
      <c r="G143" t="str">
        <f t="shared" si="36"/>
        <v/>
      </c>
      <c r="H143" t="str">
        <f t="shared" si="26"/>
        <v>LUV-2016-Q4</v>
      </c>
      <c r="I143" s="3">
        <f>_xlfn.XLOOKUP(H143,prices!A:A,prices!F:F,"no match")</f>
        <v>39.630000000000003</v>
      </c>
      <c r="J143">
        <f>_xlfn.XLOOKUP(A143,current!$A:$A,current!$B:$B,"no match")</f>
        <v>39.619999999999997</v>
      </c>
      <c r="K143">
        <f t="shared" si="27"/>
        <v>7570022.7100681299</v>
      </c>
      <c r="L143">
        <f t="shared" si="28"/>
        <v>299924299.77289927</v>
      </c>
      <c r="M143">
        <f t="shared" si="29"/>
        <v>12820500</v>
      </c>
      <c r="N143" t="str">
        <f t="shared" si="30"/>
        <v>SPY-2016-Q4</v>
      </c>
      <c r="O143">
        <f>_xlfn.XLOOKUP(N143,prices!$A:$A,prices!$F:$F,"no match")</f>
        <v>187.21</v>
      </c>
      <c r="P143">
        <f t="shared" si="31"/>
        <v>1602478.5000801238</v>
      </c>
      <c r="Q143">
        <f>IF(P143="","",P143*assumptions!$B$4)</f>
        <v>1234212915.9767106</v>
      </c>
      <c r="R143" s="10">
        <f t="shared" ca="1" si="32"/>
        <v>9.6865160848733751</v>
      </c>
      <c r="S143">
        <f ca="1">IF(E143="","",E143*1000000*(1+assumptions!$B$3)^R143)</f>
        <v>436608295.76166469</v>
      </c>
      <c r="T143">
        <f t="shared" si="33"/>
        <v>1</v>
      </c>
      <c r="U143">
        <f t="shared" si="37"/>
        <v>26</v>
      </c>
      <c r="V143">
        <f t="shared" si="38"/>
        <v>501.19230769230768</v>
      </c>
      <c r="W143">
        <f t="shared" si="34"/>
        <v>12646790.504474076</v>
      </c>
      <c r="X143">
        <f t="shared" si="35"/>
        <v>501065839.78726286</v>
      </c>
    </row>
    <row r="144" spans="1:24" hidden="1" x14ac:dyDescent="0.2">
      <c r="A144" t="s">
        <v>16</v>
      </c>
      <c r="B144">
        <v>2017</v>
      </c>
      <c r="C144" t="s">
        <v>7</v>
      </c>
      <c r="D144" s="1">
        <v>42825</v>
      </c>
      <c r="E144" s="14">
        <v>550</v>
      </c>
      <c r="F144" t="s">
        <v>8</v>
      </c>
      <c r="G144" t="str">
        <f t="shared" si="36"/>
        <v/>
      </c>
      <c r="H144" t="str">
        <f t="shared" si="26"/>
        <v>LUV-2017-Q1</v>
      </c>
      <c r="I144" s="3">
        <f>_xlfn.XLOOKUP(H144,prices!A:A,prices!F:F,"no match")</f>
        <v>47.63</v>
      </c>
      <c r="J144">
        <f>_xlfn.XLOOKUP(A144,current!$A:$A,current!$B:$B,"no match")</f>
        <v>39.619999999999997</v>
      </c>
      <c r="K144">
        <f t="shared" si="27"/>
        <v>11547344.110854503</v>
      </c>
      <c r="L144">
        <f t="shared" si="28"/>
        <v>457505773.67205536</v>
      </c>
      <c r="M144">
        <f t="shared" si="29"/>
        <v>23553750</v>
      </c>
      <c r="N144" t="str">
        <f t="shared" si="30"/>
        <v>SPY-2017-Q1</v>
      </c>
      <c r="O144">
        <f>_xlfn.XLOOKUP(N144,prices!$A:$A,prices!$F:$F,"no match")</f>
        <v>200.26</v>
      </c>
      <c r="P144">
        <f t="shared" si="31"/>
        <v>2746429.6414660942</v>
      </c>
      <c r="Q144">
        <f>IF(P144="","",P144*assumptions!$B$4)</f>
        <v>2115272645.5607712</v>
      </c>
      <c r="R144" s="10">
        <f t="shared" ca="1" si="32"/>
        <v>9.4401095140314855</v>
      </c>
      <c r="S144">
        <f ca="1">IF(E144="","",E144*1000000*(1+assumptions!$B$3)^R144)</f>
        <v>792844015.1532172</v>
      </c>
      <c r="T144">
        <f t="shared" si="33"/>
        <v>1</v>
      </c>
      <c r="U144">
        <f t="shared" si="37"/>
        <v>26</v>
      </c>
      <c r="V144">
        <f t="shared" si="38"/>
        <v>501.19230769230768</v>
      </c>
      <c r="W144">
        <f t="shared" si="34"/>
        <v>10522618.259338813</v>
      </c>
      <c r="X144">
        <f t="shared" si="35"/>
        <v>416906135.43500376</v>
      </c>
    </row>
    <row r="145" spans="1:24" hidden="1" x14ac:dyDescent="0.2">
      <c r="A145" t="s">
        <v>16</v>
      </c>
      <c r="B145">
        <v>2017</v>
      </c>
      <c r="C145" t="s">
        <v>9</v>
      </c>
      <c r="D145" s="1">
        <v>42916</v>
      </c>
      <c r="E145" s="14">
        <v>400</v>
      </c>
      <c r="F145" t="s">
        <v>8</v>
      </c>
      <c r="G145" t="str">
        <f t="shared" si="36"/>
        <v/>
      </c>
      <c r="H145" t="str">
        <f t="shared" si="26"/>
        <v>LUV-2017-Q2</v>
      </c>
      <c r="I145" s="3">
        <f>_xlfn.XLOOKUP(H145,prices!A:A,prices!F:F,"no match")</f>
        <v>51.63</v>
      </c>
      <c r="J145">
        <f>_xlfn.XLOOKUP(A145,current!$A:$A,current!$B:$B,"no match")</f>
        <v>39.619999999999997</v>
      </c>
      <c r="K145">
        <f t="shared" si="27"/>
        <v>7747433.6625992637</v>
      </c>
      <c r="L145">
        <f t="shared" si="28"/>
        <v>306953321.71218282</v>
      </c>
      <c r="M145">
        <f t="shared" si="29"/>
        <v>17166400</v>
      </c>
      <c r="N145" t="str">
        <f t="shared" si="30"/>
        <v>SPY-2017-Q2</v>
      </c>
      <c r="O145">
        <f>_xlfn.XLOOKUP(N145,prices!$A:$A,prices!$F:$F,"no match")</f>
        <v>207.45</v>
      </c>
      <c r="P145">
        <f t="shared" si="31"/>
        <v>1928175.4639672211</v>
      </c>
      <c r="Q145">
        <f>IF(P145="","",P145*assumptions!$B$4)</f>
        <v>1485061460.5929141</v>
      </c>
      <c r="R145" s="10">
        <f t="shared" ca="1" si="32"/>
        <v>9.1909650924024646</v>
      </c>
      <c r="S145">
        <f ca="1">IF(E145="","",E145*1000000*(1+assumptions!$B$3)^R145)</f>
        <v>571075232.60085464</v>
      </c>
      <c r="T145">
        <f t="shared" si="33"/>
        <v>1</v>
      </c>
      <c r="U145">
        <f t="shared" si="37"/>
        <v>26</v>
      </c>
      <c r="V145">
        <f t="shared" si="38"/>
        <v>501.19230769230768</v>
      </c>
      <c r="W145">
        <f t="shared" si="34"/>
        <v>9707385.3901279811</v>
      </c>
      <c r="X145">
        <f t="shared" si="35"/>
        <v>384606609.1568706</v>
      </c>
    </row>
    <row r="146" spans="1:24" hidden="1" x14ac:dyDescent="0.2">
      <c r="A146" t="s">
        <v>16</v>
      </c>
      <c r="B146">
        <v>2017</v>
      </c>
      <c r="C146" t="s">
        <v>10</v>
      </c>
      <c r="D146" s="1">
        <v>43008</v>
      </c>
      <c r="E146" s="14">
        <v>300</v>
      </c>
      <c r="F146" t="s">
        <v>8</v>
      </c>
      <c r="G146" t="str">
        <f t="shared" si="36"/>
        <v/>
      </c>
      <c r="H146" t="str">
        <f t="shared" si="26"/>
        <v>LUV-2017-Q3</v>
      </c>
      <c r="I146" s="3">
        <f>_xlfn.XLOOKUP(H146,prices!A:A,prices!F:F,"no match")</f>
        <v>49.92</v>
      </c>
      <c r="J146">
        <f>_xlfn.XLOOKUP(A146,current!$A:$A,current!$B:$B,"no match")</f>
        <v>39.619999999999997</v>
      </c>
      <c r="K146">
        <f t="shared" si="27"/>
        <v>6009615.384615384</v>
      </c>
      <c r="L146">
        <f t="shared" si="28"/>
        <v>238100961.53846151</v>
      </c>
      <c r="M146">
        <f t="shared" si="29"/>
        <v>12902400</v>
      </c>
      <c r="N146" t="str">
        <f t="shared" si="30"/>
        <v>SPY-2017-Q3</v>
      </c>
      <c r="O146">
        <f>_xlfn.XLOOKUP(N146,prices!$A:$A,prices!$F:$F,"no match")</f>
        <v>214.46</v>
      </c>
      <c r="P146">
        <f t="shared" si="31"/>
        <v>1398862.2586962604</v>
      </c>
      <c r="Q146">
        <f>IF(P146="","",P146*assumptions!$B$4)</f>
        <v>1077389723.0252728</v>
      </c>
      <c r="R146" s="10">
        <f t="shared" ca="1" si="32"/>
        <v>8.9390828199863108</v>
      </c>
      <c r="S146">
        <f ca="1">IF(E146="","",E146*1000000*(1+assumptions!$B$3)^R146)</f>
        <v>424147388.15622377</v>
      </c>
      <c r="T146">
        <f t="shared" si="33"/>
        <v>1</v>
      </c>
      <c r="U146">
        <f t="shared" si="37"/>
        <v>26</v>
      </c>
      <c r="V146">
        <f t="shared" si="38"/>
        <v>501.19230769230768</v>
      </c>
      <c r="W146">
        <f t="shared" si="34"/>
        <v>10039910.009861931</v>
      </c>
      <c r="X146">
        <f t="shared" si="35"/>
        <v>397781234.59072971</v>
      </c>
    </row>
    <row r="147" spans="1:24" hidden="1" x14ac:dyDescent="0.2">
      <c r="A147" t="s">
        <v>16</v>
      </c>
      <c r="B147">
        <v>2017</v>
      </c>
      <c r="C147" t="s">
        <v>11</v>
      </c>
      <c r="D147" s="1">
        <v>43100</v>
      </c>
      <c r="E147" s="14">
        <v>350</v>
      </c>
      <c r="F147" t="s">
        <v>8</v>
      </c>
      <c r="G147" t="str">
        <f t="shared" si="36"/>
        <v/>
      </c>
      <c r="H147" t="str">
        <f t="shared" si="26"/>
        <v>LUV-2017-Q4</v>
      </c>
      <c r="I147" s="3">
        <f>_xlfn.XLOOKUP(H147,prices!A:A,prices!F:F,"no match")</f>
        <v>52.41</v>
      </c>
      <c r="J147">
        <f>_xlfn.XLOOKUP(A147,current!$A:$A,current!$B:$B,"no match")</f>
        <v>39.619999999999997</v>
      </c>
      <c r="K147">
        <f t="shared" si="27"/>
        <v>6678114.8635756541</v>
      </c>
      <c r="L147">
        <f t="shared" si="28"/>
        <v>264586910.89486739</v>
      </c>
      <c r="M147">
        <f t="shared" si="29"/>
        <v>15085000</v>
      </c>
      <c r="N147" t="str">
        <f t="shared" si="30"/>
        <v>SPY-2017-Q4</v>
      </c>
      <c r="O147">
        <f>_xlfn.XLOOKUP(N147,prices!$A:$A,prices!$F:$F,"no match")</f>
        <v>227.33</v>
      </c>
      <c r="P147">
        <f t="shared" si="31"/>
        <v>1539612.0177715216</v>
      </c>
      <c r="Q147">
        <f>IF(P147="","",P147*assumptions!$B$4)</f>
        <v>1185793779.9674482</v>
      </c>
      <c r="R147" s="10">
        <f t="shared" ca="1" si="32"/>
        <v>8.687200547570157</v>
      </c>
      <c r="S147">
        <f ca="1">IF(E147="","",E147*1000000*(1+assumptions!$B$3)^R147)</f>
        <v>490033527.50446159</v>
      </c>
      <c r="T147">
        <f t="shared" si="33"/>
        <v>1</v>
      </c>
      <c r="U147">
        <f t="shared" si="37"/>
        <v>26</v>
      </c>
      <c r="V147">
        <f t="shared" si="38"/>
        <v>501.19230769230768</v>
      </c>
      <c r="W147">
        <f t="shared" si="34"/>
        <v>9562913.7128850929</v>
      </c>
      <c r="X147">
        <f t="shared" si="35"/>
        <v>378882641.30450737</v>
      </c>
    </row>
    <row r="148" spans="1:24" x14ac:dyDescent="0.2">
      <c r="A148" t="s">
        <v>16</v>
      </c>
      <c r="B148">
        <v>2018</v>
      </c>
      <c r="C148" t="s">
        <v>7</v>
      </c>
      <c r="D148" s="1">
        <v>43190</v>
      </c>
      <c r="E148" s="14">
        <v>500</v>
      </c>
      <c r="F148" t="s">
        <v>8</v>
      </c>
      <c r="G148" t="str">
        <f t="shared" si="36"/>
        <v/>
      </c>
      <c r="H148" t="str">
        <f t="shared" si="26"/>
        <v>LUV-2018-Q1</v>
      </c>
      <c r="I148" s="3">
        <f>_xlfn.XLOOKUP(H148,prices!A:A,prices!F:F,"no match")</f>
        <v>53.63</v>
      </c>
      <c r="J148">
        <f>_xlfn.XLOOKUP(A148,current!$A:$A,current!$B:$B,"no match")</f>
        <v>39.619999999999997</v>
      </c>
      <c r="K148">
        <f t="shared" si="27"/>
        <v>9323140.0335633028</v>
      </c>
      <c r="L148">
        <f t="shared" si="28"/>
        <v>369382808.12977803</v>
      </c>
      <c r="M148">
        <f t="shared" si="29"/>
        <v>21595000</v>
      </c>
      <c r="N148" t="str">
        <f t="shared" si="30"/>
        <v>SPY-2018-Q1</v>
      </c>
      <c r="O148">
        <f>_xlfn.XLOOKUP(N148,prices!$A:$A,prices!$F:$F,"no match")</f>
        <v>239.76</v>
      </c>
      <c r="P148">
        <f t="shared" si="31"/>
        <v>2085418.7520854189</v>
      </c>
      <c r="Q148">
        <f>IF(P148="","",P148*assumptions!$B$4)</f>
        <v>1606168668.668669</v>
      </c>
      <c r="R148" s="10">
        <f t="shared" ca="1" si="32"/>
        <v>8.4407939767282691</v>
      </c>
      <c r="S148">
        <f ca="1">IF(E148="","",E148*1000000*(1+assumptions!$B$3)^R148)</f>
        <v>693397208.84863484</v>
      </c>
      <c r="T148">
        <f t="shared" si="33"/>
        <v>1</v>
      </c>
      <c r="U148">
        <f t="shared" si="37"/>
        <v>26</v>
      </c>
      <c r="V148">
        <f t="shared" si="38"/>
        <v>501.19230769230768</v>
      </c>
      <c r="W148">
        <f t="shared" si="34"/>
        <v>9345372.1367202625</v>
      </c>
      <c r="X148">
        <f t="shared" si="35"/>
        <v>370263644.05685675</v>
      </c>
    </row>
    <row r="149" spans="1:24" x14ac:dyDescent="0.2">
      <c r="A149" t="s">
        <v>16</v>
      </c>
      <c r="B149">
        <v>2018</v>
      </c>
      <c r="C149" t="s">
        <v>9</v>
      </c>
      <c r="D149" s="1">
        <v>43281</v>
      </c>
      <c r="E149" s="14">
        <v>500</v>
      </c>
      <c r="F149" t="s">
        <v>8</v>
      </c>
      <c r="G149" t="str">
        <f t="shared" si="36"/>
        <v/>
      </c>
      <c r="H149" t="str">
        <f t="shared" si="26"/>
        <v>LUV-2018-Q2</v>
      </c>
      <c r="I149" s="3">
        <f>_xlfn.XLOOKUP(H149,prices!A:A,prices!F:F,"no match")</f>
        <v>47.14</v>
      </c>
      <c r="J149">
        <f>_xlfn.XLOOKUP(A149,current!$A:$A,current!$B:$B,"no match")</f>
        <v>39.619999999999997</v>
      </c>
      <c r="K149">
        <f t="shared" si="27"/>
        <v>10606703.436571913</v>
      </c>
      <c r="L149">
        <f t="shared" si="28"/>
        <v>420237590.15697914</v>
      </c>
      <c r="M149">
        <f t="shared" si="29"/>
        <v>21640500</v>
      </c>
      <c r="N149" t="str">
        <f t="shared" si="30"/>
        <v>SPY-2018-Q2</v>
      </c>
      <c r="O149">
        <f>_xlfn.XLOOKUP(N149,prices!$A:$A,prices!$F:$F,"no match")</f>
        <v>238.21</v>
      </c>
      <c r="P149">
        <f t="shared" si="31"/>
        <v>2098988.2876453549</v>
      </c>
      <c r="Q149">
        <f>IF(P149="","",P149*assumptions!$B$4)</f>
        <v>1616619789.2615759</v>
      </c>
      <c r="R149" s="10">
        <f t="shared" ca="1" si="32"/>
        <v>8.1916495550992465</v>
      </c>
      <c r="S149">
        <f ca="1">IF(E149="","",E149*1000000*(1+assumptions!$B$3)^R149)</f>
        <v>686736863.17201281</v>
      </c>
      <c r="T149">
        <f t="shared" si="33"/>
        <v>1</v>
      </c>
      <c r="U149">
        <f t="shared" si="37"/>
        <v>26</v>
      </c>
      <c r="V149">
        <f t="shared" si="38"/>
        <v>501.19230769230768</v>
      </c>
      <c r="W149">
        <f t="shared" si="34"/>
        <v>10631996.344766814</v>
      </c>
      <c r="X149">
        <f t="shared" si="35"/>
        <v>421239695.17966115</v>
      </c>
    </row>
    <row r="150" spans="1:24" x14ac:dyDescent="0.2">
      <c r="A150" t="s">
        <v>16</v>
      </c>
      <c r="B150">
        <v>2018</v>
      </c>
      <c r="C150" t="s">
        <v>10</v>
      </c>
      <c r="D150" s="1">
        <v>43373</v>
      </c>
      <c r="E150" s="14">
        <v>500</v>
      </c>
      <c r="F150" t="s">
        <v>8</v>
      </c>
      <c r="G150" t="str">
        <f t="shared" si="36"/>
        <v/>
      </c>
      <c r="H150" t="str">
        <f t="shared" si="26"/>
        <v>LUV-2018-Q3</v>
      </c>
      <c r="I150" s="3">
        <f>_xlfn.XLOOKUP(H150,prices!A:A,prices!F:F,"no match")</f>
        <v>52.54</v>
      </c>
      <c r="J150">
        <f>_xlfn.XLOOKUP(A150,current!$A:$A,current!$B:$B,"no match")</f>
        <v>39.619999999999997</v>
      </c>
      <c r="K150">
        <f t="shared" si="27"/>
        <v>9516558.8123334609</v>
      </c>
      <c r="L150">
        <f t="shared" si="28"/>
        <v>377046060.14465171</v>
      </c>
      <c r="M150">
        <f t="shared" si="29"/>
        <v>21686500</v>
      </c>
      <c r="N150" t="str">
        <f t="shared" si="30"/>
        <v>SPY-2018-Q3</v>
      </c>
      <c r="O150">
        <f>_xlfn.XLOOKUP(N150,prices!$A:$A,prices!$F:$F,"no match")</f>
        <v>252.23</v>
      </c>
      <c r="P150">
        <f t="shared" si="31"/>
        <v>1982317.7258851049</v>
      </c>
      <c r="Q150">
        <f>IF(P150="","",P150*assumptions!$B$4)</f>
        <v>1526761289.299449</v>
      </c>
      <c r="R150" s="10">
        <f t="shared" ca="1" si="32"/>
        <v>7.9397672826830936</v>
      </c>
      <c r="S150">
        <f ca="1">IF(E150="","",E150*1000000*(1+assumptions!$B$3)^R150)</f>
        <v>680068358.15878534</v>
      </c>
      <c r="T150">
        <f t="shared" si="33"/>
        <v>1</v>
      </c>
      <c r="U150">
        <f t="shared" si="37"/>
        <v>26</v>
      </c>
      <c r="V150">
        <f t="shared" si="38"/>
        <v>501.19230769230768</v>
      </c>
      <c r="W150">
        <f t="shared" si="34"/>
        <v>9539252.1448859479</v>
      </c>
      <c r="X150">
        <f t="shared" si="35"/>
        <v>377945169.98038125</v>
      </c>
    </row>
    <row r="151" spans="1:24" x14ac:dyDescent="0.2">
      <c r="A151" t="s">
        <v>16</v>
      </c>
      <c r="B151">
        <v>2018</v>
      </c>
      <c r="C151" t="s">
        <v>11</v>
      </c>
      <c r="D151" s="1">
        <v>43465</v>
      </c>
      <c r="E151" s="14">
        <v>500</v>
      </c>
      <c r="F151" t="s">
        <v>8</v>
      </c>
      <c r="G151" t="str">
        <f t="shared" si="36"/>
        <v/>
      </c>
      <c r="H151" t="str">
        <f t="shared" si="26"/>
        <v>LUV-2018-Q4</v>
      </c>
      <c r="I151" s="3">
        <f>_xlfn.XLOOKUP(H151,prices!A:A,prices!F:F,"no match")</f>
        <v>47.82</v>
      </c>
      <c r="J151">
        <f>_xlfn.XLOOKUP(A151,current!$A:$A,current!$B:$B,"no match")</f>
        <v>39.619999999999997</v>
      </c>
      <c r="K151">
        <f t="shared" si="27"/>
        <v>10455876.202425763</v>
      </c>
      <c r="L151">
        <f t="shared" si="28"/>
        <v>414261815.1401087</v>
      </c>
      <c r="M151">
        <f t="shared" si="29"/>
        <v>21732500</v>
      </c>
      <c r="N151" t="str">
        <f t="shared" si="30"/>
        <v>SPY-2018-Q4</v>
      </c>
      <c r="O151">
        <f>_xlfn.XLOOKUP(N151,prices!$A:$A,prices!$F:$F,"no match")</f>
        <v>239.95</v>
      </c>
      <c r="P151">
        <f t="shared" si="31"/>
        <v>2083767.4515524069</v>
      </c>
      <c r="Q151">
        <f>IF(P151="","",P151*assumptions!$B$4)</f>
        <v>1604896853.5111485</v>
      </c>
      <c r="R151" s="10">
        <f t="shared" ca="1" si="32"/>
        <v>7.6878850102669407</v>
      </c>
      <c r="S151">
        <f ca="1">IF(E151="","",E151*1000000*(1+assumptions!$B$3)^R151)</f>
        <v>673464607.1459564</v>
      </c>
      <c r="T151">
        <f t="shared" si="33"/>
        <v>1</v>
      </c>
      <c r="U151">
        <f t="shared" si="37"/>
        <v>26</v>
      </c>
      <c r="V151">
        <f t="shared" si="38"/>
        <v>501.19230769230768</v>
      </c>
      <c r="W151">
        <f t="shared" si="34"/>
        <v>10480809.445677701</v>
      </c>
      <c r="X151">
        <f t="shared" si="35"/>
        <v>415249670.23775053</v>
      </c>
    </row>
    <row r="152" spans="1:24" x14ac:dyDescent="0.2">
      <c r="A152" t="s">
        <v>16</v>
      </c>
      <c r="B152">
        <v>2019</v>
      </c>
      <c r="C152" t="s">
        <v>7</v>
      </c>
      <c r="D152" s="1">
        <v>43555</v>
      </c>
      <c r="E152" s="14">
        <v>500</v>
      </c>
      <c r="F152" t="s">
        <v>8</v>
      </c>
      <c r="G152" t="str">
        <f t="shared" si="36"/>
        <v/>
      </c>
      <c r="H152" t="str">
        <f t="shared" si="26"/>
        <v>LUV-2019-Q1</v>
      </c>
      <c r="I152" s="3">
        <f>_xlfn.XLOOKUP(H152,prices!A:A,prices!F:F,"no match")</f>
        <v>47.64</v>
      </c>
      <c r="J152">
        <f>_xlfn.XLOOKUP(A152,current!$A:$A,current!$B:$B,"no match")</f>
        <v>39.619999999999997</v>
      </c>
      <c r="K152">
        <f t="shared" si="27"/>
        <v>10495382.031905962</v>
      </c>
      <c r="L152">
        <f t="shared" si="28"/>
        <v>415827036.10411417</v>
      </c>
      <c r="M152">
        <f t="shared" si="29"/>
        <v>21777500</v>
      </c>
      <c r="N152" t="str">
        <f t="shared" si="30"/>
        <v>SPY-2019-Q1</v>
      </c>
      <c r="O152">
        <f>_xlfn.XLOOKUP(N152,prices!$A:$A,prices!$F:$F,"no match")</f>
        <v>243.24</v>
      </c>
      <c r="P152">
        <f t="shared" si="31"/>
        <v>2055582.9633283999</v>
      </c>
      <c r="Q152">
        <f>IF(P152="","",P152*assumptions!$B$4)</f>
        <v>1583189442.5259004</v>
      </c>
      <c r="R152" s="10">
        <f t="shared" ca="1" si="32"/>
        <v>7.4414784394250511</v>
      </c>
      <c r="S152">
        <f ca="1">IF(E152="","",E152*1000000*(1+assumptions!$B$3)^R152)</f>
        <v>667066469.63940191</v>
      </c>
      <c r="T152">
        <f t="shared" si="33"/>
        <v>1</v>
      </c>
      <c r="U152">
        <f t="shared" si="37"/>
        <v>26</v>
      </c>
      <c r="V152">
        <f t="shared" si="38"/>
        <v>501.19230769230768</v>
      </c>
      <c r="W152">
        <f t="shared" si="34"/>
        <v>10520409.481366659</v>
      </c>
      <c r="X152">
        <f t="shared" si="35"/>
        <v>416818623.65174699</v>
      </c>
    </row>
    <row r="153" spans="1:24" x14ac:dyDescent="0.2">
      <c r="A153" t="s">
        <v>16</v>
      </c>
      <c r="B153">
        <v>2019</v>
      </c>
      <c r="C153" t="s">
        <v>9</v>
      </c>
      <c r="D153" s="1">
        <v>43646</v>
      </c>
      <c r="E153" s="14">
        <v>450</v>
      </c>
      <c r="F153" t="s">
        <v>8</v>
      </c>
      <c r="G153" t="str">
        <f t="shared" si="36"/>
        <v/>
      </c>
      <c r="H153" t="str">
        <f t="shared" si="26"/>
        <v>LUV-2019-Q2</v>
      </c>
      <c r="I153" s="3">
        <f>_xlfn.XLOOKUP(H153,prices!A:A,prices!F:F,"no match")</f>
        <v>46.94</v>
      </c>
      <c r="J153">
        <f>_xlfn.XLOOKUP(A153,current!$A:$A,current!$B:$B,"no match")</f>
        <v>39.619999999999997</v>
      </c>
      <c r="K153">
        <f t="shared" si="27"/>
        <v>9586706.4337452073</v>
      </c>
      <c r="L153">
        <f t="shared" si="28"/>
        <v>379825308.90498507</v>
      </c>
      <c r="M153">
        <f t="shared" si="29"/>
        <v>19640700</v>
      </c>
      <c r="N153" t="str">
        <f t="shared" si="30"/>
        <v>SPY-2019-Q2</v>
      </c>
      <c r="O153">
        <f>_xlfn.XLOOKUP(N153,prices!$A:$A,prices!$F:$F,"no match")</f>
        <v>258.86</v>
      </c>
      <c r="P153">
        <f t="shared" si="31"/>
        <v>1738391.40848335</v>
      </c>
      <c r="Q153">
        <f>IF(P153="","",P153*assumptions!$B$4)</f>
        <v>1338891678.8997915</v>
      </c>
      <c r="R153" s="10">
        <f t="shared" ca="1" si="32"/>
        <v>7.1923340177960302</v>
      </c>
      <c r="S153">
        <f ca="1">IF(E153="","",E153*1000000*(1+assumptions!$B$3)^R153)</f>
        <v>594593136.71487987</v>
      </c>
      <c r="T153">
        <f t="shared" si="33"/>
        <v>1</v>
      </c>
      <c r="U153">
        <f t="shared" si="37"/>
        <v>26</v>
      </c>
      <c r="V153">
        <f t="shared" si="38"/>
        <v>501.19230769230768</v>
      </c>
      <c r="W153">
        <f t="shared" si="34"/>
        <v>10677296.712661007</v>
      </c>
      <c r="X153">
        <f t="shared" si="35"/>
        <v>423034495.75562906</v>
      </c>
    </row>
    <row r="154" spans="1:24" x14ac:dyDescent="0.2">
      <c r="A154" t="s">
        <v>16</v>
      </c>
      <c r="B154">
        <v>2019</v>
      </c>
      <c r="C154" t="s">
        <v>10</v>
      </c>
      <c r="D154" s="1">
        <v>43738</v>
      </c>
      <c r="E154" s="14">
        <v>500</v>
      </c>
      <c r="F154" t="s">
        <v>8</v>
      </c>
      <c r="G154" t="str">
        <f t="shared" si="36"/>
        <v/>
      </c>
      <c r="H154" t="str">
        <f t="shared" si="26"/>
        <v>LUV-2019-Q3</v>
      </c>
      <c r="I154" s="3">
        <f>_xlfn.XLOOKUP(H154,prices!A:A,prices!F:F,"no match")</f>
        <v>47.59</v>
      </c>
      <c r="J154">
        <f>_xlfn.XLOOKUP(A154,current!$A:$A,current!$B:$B,"no match")</f>
        <v>39.619999999999997</v>
      </c>
      <c r="K154">
        <f t="shared" si="27"/>
        <v>10506408.909434754</v>
      </c>
      <c r="L154">
        <f t="shared" si="28"/>
        <v>416263920.99180496</v>
      </c>
      <c r="M154">
        <f t="shared" si="29"/>
        <v>21869000</v>
      </c>
      <c r="N154" t="str">
        <f t="shared" si="30"/>
        <v>SPY-2019-Q3</v>
      </c>
      <c r="O154">
        <f>_xlfn.XLOOKUP(N154,prices!$A:$A,prices!$F:$F,"no match")</f>
        <v>266.92</v>
      </c>
      <c r="P154">
        <f t="shared" si="31"/>
        <v>1873220.4405814474</v>
      </c>
      <c r="Q154">
        <f>IF(P154="","",P154*assumptions!$B$4)</f>
        <v>1442735651.1314251</v>
      </c>
      <c r="R154" s="10">
        <f t="shared" ca="1" si="32"/>
        <v>6.9404517453798764</v>
      </c>
      <c r="S154">
        <f ca="1">IF(E154="","",E154*1000000*(1+assumptions!$B$3)^R154)</f>
        <v>654243762.45142198</v>
      </c>
      <c r="T154">
        <f t="shared" si="33"/>
        <v>1</v>
      </c>
      <c r="U154">
        <f t="shared" si="37"/>
        <v>26</v>
      </c>
      <c r="V154">
        <f t="shared" si="38"/>
        <v>501.19230769230768</v>
      </c>
      <c r="W154">
        <f t="shared" si="34"/>
        <v>10531462.653757252</v>
      </c>
      <c r="X154">
        <f t="shared" si="35"/>
        <v>417256550.34186226</v>
      </c>
    </row>
    <row r="155" spans="1:24" x14ac:dyDescent="0.2">
      <c r="A155" t="s">
        <v>16</v>
      </c>
      <c r="B155">
        <v>2019</v>
      </c>
      <c r="C155" t="s">
        <v>11</v>
      </c>
      <c r="D155" s="1">
        <v>43830</v>
      </c>
      <c r="E155" s="14">
        <v>550</v>
      </c>
      <c r="F155" t="s">
        <v>8</v>
      </c>
      <c r="G155" t="str">
        <f t="shared" si="36"/>
        <v/>
      </c>
      <c r="H155" t="str">
        <f t="shared" si="26"/>
        <v>LUV-2019-Q4</v>
      </c>
      <c r="I155" s="3">
        <f>_xlfn.XLOOKUP(H155,prices!A:A,prices!F:F,"no match")</f>
        <v>50.59</v>
      </c>
      <c r="J155">
        <f>_xlfn.XLOOKUP(A155,current!$A:$A,current!$B:$B,"no match")</f>
        <v>39.619999999999997</v>
      </c>
      <c r="K155">
        <f t="shared" si="27"/>
        <v>10871713.777426368</v>
      </c>
      <c r="L155">
        <f t="shared" si="28"/>
        <v>430737299.86163265</v>
      </c>
      <c r="M155">
        <f t="shared" si="29"/>
        <v>24106500</v>
      </c>
      <c r="N155" t="str">
        <f t="shared" si="30"/>
        <v>SPY-2019-Q4</v>
      </c>
      <c r="O155">
        <f>_xlfn.XLOOKUP(N155,prices!$A:$A,prices!$F:$F,"no match")</f>
        <v>279.45999999999998</v>
      </c>
      <c r="P155">
        <f t="shared" si="31"/>
        <v>1968081.2996493238</v>
      </c>
      <c r="Q155">
        <f>IF(P155="","",P155*assumptions!$B$4)</f>
        <v>1515796536.1769128</v>
      </c>
      <c r="R155" s="10">
        <f t="shared" ca="1" si="32"/>
        <v>6.6885694729637235</v>
      </c>
      <c r="S155">
        <f ca="1">IF(E155="","",E155*1000000*(1+assumptions!$B$3)^R155)</f>
        <v>712679857.08810186</v>
      </c>
      <c r="T155">
        <f t="shared" si="33"/>
        <v>1</v>
      </c>
      <c r="U155">
        <f t="shared" si="37"/>
        <v>26</v>
      </c>
      <c r="V155">
        <f t="shared" si="38"/>
        <v>501.19230769230768</v>
      </c>
      <c r="W155">
        <f t="shared" si="34"/>
        <v>9906944.2121428661</v>
      </c>
      <c r="X155">
        <f t="shared" si="35"/>
        <v>392513129.68510032</v>
      </c>
    </row>
    <row r="156" spans="1:24" x14ac:dyDescent="0.2">
      <c r="A156" t="s">
        <v>16</v>
      </c>
      <c r="B156">
        <v>2020</v>
      </c>
      <c r="C156" t="s">
        <v>7</v>
      </c>
      <c r="D156" s="1">
        <v>43921</v>
      </c>
      <c r="E156" s="14">
        <v>451</v>
      </c>
      <c r="F156" t="s">
        <v>8</v>
      </c>
      <c r="G156" t="str">
        <f t="shared" si="36"/>
        <v/>
      </c>
      <c r="H156" t="str">
        <f t="shared" si="26"/>
        <v>LUV-2020-Q1</v>
      </c>
      <c r="I156" s="3">
        <f>_xlfn.XLOOKUP(H156,prices!A:A,prices!F:F,"no match")</f>
        <v>45.38</v>
      </c>
      <c r="J156">
        <f>_xlfn.XLOOKUP(A156,current!$A:$A,current!$B:$B,"no match")</f>
        <v>39.619999999999997</v>
      </c>
      <c r="K156">
        <f t="shared" si="27"/>
        <v>9938298.8100484796</v>
      </c>
      <c r="L156">
        <f t="shared" si="28"/>
        <v>393755398.85412073</v>
      </c>
      <c r="M156">
        <f t="shared" si="29"/>
        <v>19808371</v>
      </c>
      <c r="N156" t="str">
        <f t="shared" si="30"/>
        <v>SPY-2020-Q1</v>
      </c>
      <c r="O156">
        <f>_xlfn.XLOOKUP(N156,prices!$A:$A,prices!$F:$F,"no match")</f>
        <v>278.20999999999998</v>
      </c>
      <c r="P156">
        <f t="shared" si="31"/>
        <v>1621077.603249344</v>
      </c>
      <c r="Q156">
        <f>IF(P156="","",P156*assumptions!$B$4)</f>
        <v>1248537759.2466123</v>
      </c>
      <c r="R156" s="10">
        <f t="shared" ca="1" si="32"/>
        <v>6.4394250513347027</v>
      </c>
      <c r="S156">
        <f ca="1">IF(E156="","",E156*1000000*(1+assumptions!$B$3)^R156)</f>
        <v>578784121.23765576</v>
      </c>
      <c r="T156">
        <f t="shared" si="33"/>
        <v>1</v>
      </c>
      <c r="U156">
        <f t="shared" si="37"/>
        <v>26</v>
      </c>
      <c r="V156">
        <f t="shared" si="38"/>
        <v>501.19230769230768</v>
      </c>
      <c r="W156">
        <f t="shared" si="34"/>
        <v>11044343.492558563</v>
      </c>
      <c r="X156">
        <f t="shared" si="35"/>
        <v>437576889.17517024</v>
      </c>
    </row>
    <row r="157" spans="1:24" x14ac:dyDescent="0.2">
      <c r="A157" t="s">
        <v>16</v>
      </c>
      <c r="B157">
        <v>2020</v>
      </c>
      <c r="C157" t="s">
        <v>9</v>
      </c>
      <c r="D157" s="1">
        <v>44012</v>
      </c>
      <c r="E157" s="14">
        <v>0</v>
      </c>
      <c r="F157" t="s">
        <v>8</v>
      </c>
      <c r="G157" t="str">
        <f t="shared" si="36"/>
        <v/>
      </c>
      <c r="H157" t="str">
        <f t="shared" si="26"/>
        <v>LUV-2020-Q2</v>
      </c>
      <c r="I157" s="3">
        <f>_xlfn.XLOOKUP(H157,prices!A:A,prices!F:F,"no match")</f>
        <v>29.17</v>
      </c>
      <c r="J157">
        <f>_xlfn.XLOOKUP(A157,current!$A:$A,current!$B:$B,"no match")</f>
        <v>39.619999999999997</v>
      </c>
      <c r="K157">
        <f t="shared" si="27"/>
        <v>0</v>
      </c>
      <c r="L157">
        <f t="shared" si="28"/>
        <v>0</v>
      </c>
      <c r="M157">
        <f t="shared" si="29"/>
        <v>0</v>
      </c>
      <c r="N157" t="str">
        <f t="shared" si="30"/>
        <v>SPY-2020-Q2</v>
      </c>
      <c r="O157">
        <f>_xlfn.XLOOKUP(N157,prices!$A:$A,prices!$F:$F,"no match")</f>
        <v>268.52999999999997</v>
      </c>
      <c r="P157">
        <f t="shared" si="31"/>
        <v>0</v>
      </c>
      <c r="Q157">
        <f>IF(P157="","",P157*assumptions!$B$4)</f>
        <v>0</v>
      </c>
      <c r="R157" s="10">
        <f t="shared" ca="1" si="32"/>
        <v>6.1902806297056809</v>
      </c>
      <c r="S157">
        <f ca="1">IF(E157="","",E157*1000000*(1+assumptions!$B$3)^R157)</f>
        <v>0</v>
      </c>
      <c r="T157">
        <f t="shared" si="33"/>
        <v>0</v>
      </c>
      <c r="U157">
        <f t="shared" si="37"/>
        <v>26</v>
      </c>
      <c r="V157">
        <f t="shared" si="38"/>
        <v>0</v>
      </c>
      <c r="W157">
        <f t="shared" si="34"/>
        <v>0</v>
      </c>
      <c r="X157">
        <f t="shared" si="35"/>
        <v>0</v>
      </c>
    </row>
    <row r="158" spans="1:24" x14ac:dyDescent="0.2">
      <c r="A158" t="s">
        <v>16</v>
      </c>
      <c r="B158">
        <v>2020</v>
      </c>
      <c r="C158" t="s">
        <v>10</v>
      </c>
      <c r="D158" s="1">
        <v>44104</v>
      </c>
      <c r="E158" s="14">
        <v>0</v>
      </c>
      <c r="F158" t="s">
        <v>8</v>
      </c>
      <c r="G158" t="str">
        <f t="shared" si="36"/>
        <v/>
      </c>
      <c r="H158" t="str">
        <f t="shared" si="26"/>
        <v>LUV-2020-Q3</v>
      </c>
      <c r="I158" s="3">
        <f>_xlfn.XLOOKUP(H158,prices!A:A,prices!F:F,"no match")</f>
        <v>32.619999999999997</v>
      </c>
      <c r="J158">
        <f>_xlfn.XLOOKUP(A158,current!$A:$A,current!$B:$B,"no match")</f>
        <v>39.619999999999997</v>
      </c>
      <c r="K158">
        <f t="shared" si="27"/>
        <v>0</v>
      </c>
      <c r="L158">
        <f t="shared" si="28"/>
        <v>0</v>
      </c>
      <c r="M158">
        <f t="shared" si="29"/>
        <v>0</v>
      </c>
      <c r="N158" t="str">
        <f t="shared" si="30"/>
        <v>SPY-2020-Q3</v>
      </c>
      <c r="O158">
        <f>_xlfn.XLOOKUP(N158,prices!$A:$A,prices!$F:$F,"no match")</f>
        <v>305.37</v>
      </c>
      <c r="P158">
        <f t="shared" si="31"/>
        <v>0</v>
      </c>
      <c r="Q158">
        <f>IF(P158="","",P158*assumptions!$B$4)</f>
        <v>0</v>
      </c>
      <c r="R158" s="10">
        <f t="shared" ca="1" si="32"/>
        <v>5.938398357289528</v>
      </c>
      <c r="S158">
        <f ca="1">IF(E158="","",E158*1000000*(1+assumptions!$B$3)^R158)</f>
        <v>0</v>
      </c>
      <c r="T158">
        <f t="shared" si="33"/>
        <v>0</v>
      </c>
      <c r="U158">
        <f t="shared" si="37"/>
        <v>26</v>
      </c>
      <c r="V158">
        <f t="shared" si="38"/>
        <v>0</v>
      </c>
      <c r="W158">
        <f t="shared" si="34"/>
        <v>0</v>
      </c>
      <c r="X158">
        <f t="shared" si="35"/>
        <v>0</v>
      </c>
    </row>
    <row r="159" spans="1:24" x14ac:dyDescent="0.2">
      <c r="A159" t="s">
        <v>16</v>
      </c>
      <c r="B159">
        <v>2020</v>
      </c>
      <c r="C159" t="s">
        <v>11</v>
      </c>
      <c r="D159" s="1">
        <v>44196</v>
      </c>
      <c r="E159" s="14">
        <v>0</v>
      </c>
      <c r="F159" t="s">
        <v>8</v>
      </c>
      <c r="G159" t="str">
        <f t="shared" si="36"/>
        <v/>
      </c>
      <c r="H159" t="str">
        <f t="shared" si="26"/>
        <v>LUV-2020-Q4</v>
      </c>
      <c r="I159" s="3">
        <f>_xlfn.XLOOKUP(H159,prices!A:A,prices!F:F,"no match")</f>
        <v>39.770000000000003</v>
      </c>
      <c r="J159">
        <f>_xlfn.XLOOKUP(A159,current!$A:$A,current!$B:$B,"no match")</f>
        <v>39.619999999999997</v>
      </c>
      <c r="K159">
        <f t="shared" si="27"/>
        <v>0</v>
      </c>
      <c r="L159">
        <f t="shared" si="28"/>
        <v>0</v>
      </c>
      <c r="M159">
        <f t="shared" si="29"/>
        <v>0</v>
      </c>
      <c r="N159" t="str">
        <f t="shared" si="30"/>
        <v>SPY-2020-Q4</v>
      </c>
      <c r="O159">
        <f>_xlfn.XLOOKUP(N159,prices!$A:$A,prices!$F:$F,"no match")</f>
        <v>328.23</v>
      </c>
      <c r="P159">
        <f t="shared" si="31"/>
        <v>0</v>
      </c>
      <c r="Q159">
        <f>IF(P159="","",P159*assumptions!$B$4)</f>
        <v>0</v>
      </c>
      <c r="R159" s="10">
        <f t="shared" ca="1" si="32"/>
        <v>5.6865160848733742</v>
      </c>
      <c r="S159">
        <f ca="1">IF(E159="","",E159*1000000*(1+assumptions!$B$3)^R159)</f>
        <v>0</v>
      </c>
      <c r="T159">
        <f t="shared" si="33"/>
        <v>0</v>
      </c>
      <c r="U159">
        <f t="shared" si="37"/>
        <v>26</v>
      </c>
      <c r="V159">
        <f t="shared" si="38"/>
        <v>0</v>
      </c>
      <c r="W159">
        <f t="shared" si="34"/>
        <v>0</v>
      </c>
      <c r="X159">
        <f t="shared" si="35"/>
        <v>0</v>
      </c>
    </row>
    <row r="160" spans="1:24" x14ac:dyDescent="0.2">
      <c r="A160" t="s">
        <v>16</v>
      </c>
      <c r="B160">
        <v>2021</v>
      </c>
      <c r="C160" t="s">
        <v>7</v>
      </c>
      <c r="D160" s="1">
        <v>44286</v>
      </c>
      <c r="E160" s="14">
        <v>0</v>
      </c>
      <c r="F160" t="s">
        <v>8</v>
      </c>
      <c r="G160" t="str">
        <f t="shared" si="36"/>
        <v/>
      </c>
      <c r="H160" t="str">
        <f t="shared" si="26"/>
        <v>LUV-2021-Q1</v>
      </c>
      <c r="I160" s="3">
        <f>_xlfn.XLOOKUP(H160,prices!A:A,prices!F:F,"no match")</f>
        <v>48.85</v>
      </c>
      <c r="J160">
        <f>_xlfn.XLOOKUP(A160,current!$A:$A,current!$B:$B,"no match")</f>
        <v>39.619999999999997</v>
      </c>
      <c r="K160">
        <f t="shared" si="27"/>
        <v>0</v>
      </c>
      <c r="L160">
        <f t="shared" si="28"/>
        <v>0</v>
      </c>
      <c r="M160">
        <f t="shared" si="29"/>
        <v>0</v>
      </c>
      <c r="N160" t="str">
        <f t="shared" si="30"/>
        <v>SPY-2021-Q1</v>
      </c>
      <c r="O160">
        <f>_xlfn.XLOOKUP(N160,prices!$A:$A,prices!$F:$F,"no match")</f>
        <v>358.26</v>
      </c>
      <c r="P160">
        <f t="shared" si="31"/>
        <v>0</v>
      </c>
      <c r="Q160">
        <f>IF(P160="","",P160*assumptions!$B$4)</f>
        <v>0</v>
      </c>
      <c r="R160" s="10">
        <f t="shared" ca="1" si="32"/>
        <v>5.4401095140314855</v>
      </c>
      <c r="S160">
        <f ca="1">IF(E160="","",E160*1000000*(1+assumptions!$B$3)^R160)</f>
        <v>0</v>
      </c>
      <c r="T160">
        <f t="shared" si="33"/>
        <v>0</v>
      </c>
      <c r="U160">
        <f t="shared" si="37"/>
        <v>26</v>
      </c>
      <c r="V160">
        <f t="shared" si="38"/>
        <v>0</v>
      </c>
      <c r="W160">
        <f t="shared" si="34"/>
        <v>0</v>
      </c>
      <c r="X160">
        <f t="shared" si="35"/>
        <v>0</v>
      </c>
    </row>
    <row r="161" spans="1:24" x14ac:dyDescent="0.2">
      <c r="A161" t="s">
        <v>16</v>
      </c>
      <c r="B161">
        <v>2021</v>
      </c>
      <c r="C161" t="s">
        <v>9</v>
      </c>
      <c r="D161" s="1">
        <v>44377</v>
      </c>
      <c r="E161" s="14">
        <v>0</v>
      </c>
      <c r="F161" t="s">
        <v>8</v>
      </c>
      <c r="G161" t="str">
        <f t="shared" si="36"/>
        <v/>
      </c>
      <c r="H161" t="str">
        <f t="shared" si="26"/>
        <v>LUV-2021-Q2</v>
      </c>
      <c r="I161" s="3">
        <f>_xlfn.XLOOKUP(H161,prices!A:A,prices!F:F,"no match")</f>
        <v>55.02</v>
      </c>
      <c r="J161">
        <f>_xlfn.XLOOKUP(A161,current!$A:$A,current!$B:$B,"no match")</f>
        <v>39.619999999999997</v>
      </c>
      <c r="K161">
        <f t="shared" si="27"/>
        <v>0</v>
      </c>
      <c r="L161">
        <f t="shared" si="28"/>
        <v>0</v>
      </c>
      <c r="M161">
        <f t="shared" si="29"/>
        <v>0</v>
      </c>
      <c r="N161" t="str">
        <f t="shared" si="30"/>
        <v>SPY-2021-Q2</v>
      </c>
      <c r="O161">
        <f>_xlfn.XLOOKUP(N161,prices!$A:$A,prices!$F:$F,"no match")</f>
        <v>389.03</v>
      </c>
      <c r="P161">
        <f t="shared" si="31"/>
        <v>0</v>
      </c>
      <c r="Q161">
        <f>IF(P161="","",P161*assumptions!$B$4)</f>
        <v>0</v>
      </c>
      <c r="R161" s="10">
        <f t="shared" ca="1" si="32"/>
        <v>5.1909650924024637</v>
      </c>
      <c r="S161">
        <f ca="1">IF(E161="","",E161*1000000*(1+assumptions!$B$3)^R161)</f>
        <v>0</v>
      </c>
      <c r="T161">
        <f t="shared" si="33"/>
        <v>0</v>
      </c>
      <c r="U161">
        <f t="shared" si="37"/>
        <v>26</v>
      </c>
      <c r="V161">
        <f t="shared" si="38"/>
        <v>0</v>
      </c>
      <c r="W161">
        <f t="shared" si="34"/>
        <v>0</v>
      </c>
      <c r="X161">
        <f t="shared" si="35"/>
        <v>0</v>
      </c>
    </row>
    <row r="162" spans="1:24" x14ac:dyDescent="0.2">
      <c r="A162" t="s">
        <v>16</v>
      </c>
      <c r="B162">
        <v>2021</v>
      </c>
      <c r="C162" t="s">
        <v>10</v>
      </c>
      <c r="D162" s="1">
        <v>44469</v>
      </c>
      <c r="E162" s="14">
        <v>0</v>
      </c>
      <c r="F162" t="s">
        <v>8</v>
      </c>
      <c r="G162" t="str">
        <f t="shared" si="36"/>
        <v/>
      </c>
      <c r="H162" t="str">
        <f t="shared" si="26"/>
        <v>LUV-2021-Q3</v>
      </c>
      <c r="I162" s="3">
        <f>_xlfn.XLOOKUP(H162,prices!A:A,prices!F:F,"no match")</f>
        <v>46.37</v>
      </c>
      <c r="J162">
        <f>_xlfn.XLOOKUP(A162,current!$A:$A,current!$B:$B,"no match")</f>
        <v>39.619999999999997</v>
      </c>
      <c r="K162">
        <f t="shared" si="27"/>
        <v>0</v>
      </c>
      <c r="L162">
        <f t="shared" si="28"/>
        <v>0</v>
      </c>
      <c r="M162">
        <f t="shared" si="29"/>
        <v>0</v>
      </c>
      <c r="N162" t="str">
        <f t="shared" si="30"/>
        <v>SPY-2021-Q3</v>
      </c>
      <c r="O162">
        <f>_xlfn.XLOOKUP(N162,prices!$A:$A,prices!$F:$F,"no match")</f>
        <v>412.48</v>
      </c>
      <c r="P162">
        <f t="shared" si="31"/>
        <v>0</v>
      </c>
      <c r="Q162">
        <f>IF(P162="","",P162*assumptions!$B$4)</f>
        <v>0</v>
      </c>
      <c r="R162" s="10">
        <f t="shared" ca="1" si="32"/>
        <v>4.9390828199863108</v>
      </c>
      <c r="S162">
        <f ca="1">IF(E162="","",E162*1000000*(1+assumptions!$B$3)^R162)</f>
        <v>0</v>
      </c>
      <c r="T162">
        <f t="shared" si="33"/>
        <v>0</v>
      </c>
      <c r="U162">
        <f t="shared" si="37"/>
        <v>26</v>
      </c>
      <c r="V162">
        <f t="shared" si="38"/>
        <v>0</v>
      </c>
      <c r="W162">
        <f t="shared" si="34"/>
        <v>0</v>
      </c>
      <c r="X162">
        <f t="shared" si="35"/>
        <v>0</v>
      </c>
    </row>
    <row r="163" spans="1:24" x14ac:dyDescent="0.2">
      <c r="A163" t="s">
        <v>16</v>
      </c>
      <c r="B163">
        <v>2021</v>
      </c>
      <c r="C163" t="s">
        <v>11</v>
      </c>
      <c r="D163" s="1">
        <v>44561</v>
      </c>
      <c r="E163" s="14">
        <v>0</v>
      </c>
      <c r="F163" t="s">
        <v>8</v>
      </c>
      <c r="G163" t="str">
        <f t="shared" si="36"/>
        <v/>
      </c>
      <c r="H163" t="str">
        <f t="shared" si="26"/>
        <v>LUV-2021-Q4</v>
      </c>
      <c r="I163" s="3">
        <f>_xlfn.XLOOKUP(H163,prices!A:A,prices!F:F,"no match")</f>
        <v>43.1</v>
      </c>
      <c r="J163">
        <f>_xlfn.XLOOKUP(A163,current!$A:$A,current!$B:$B,"no match")</f>
        <v>39.619999999999997</v>
      </c>
      <c r="K163">
        <f t="shared" si="27"/>
        <v>0</v>
      </c>
      <c r="L163">
        <f t="shared" si="28"/>
        <v>0</v>
      </c>
      <c r="M163">
        <f t="shared" si="29"/>
        <v>0</v>
      </c>
      <c r="N163" t="str">
        <f t="shared" si="30"/>
        <v>SPY-2021-Q4</v>
      </c>
      <c r="O163">
        <f>_xlfn.XLOOKUP(N163,prices!$A:$A,prices!$F:$F,"no match")</f>
        <v>430.69</v>
      </c>
      <c r="P163">
        <f t="shared" si="31"/>
        <v>0</v>
      </c>
      <c r="Q163">
        <f>IF(P163="","",P163*assumptions!$B$4)</f>
        <v>0</v>
      </c>
      <c r="R163" s="10">
        <f t="shared" ca="1" si="32"/>
        <v>4.687200547570157</v>
      </c>
      <c r="S163">
        <f ca="1">IF(E163="","",E163*1000000*(1+assumptions!$B$3)^R163)</f>
        <v>0</v>
      </c>
      <c r="T163">
        <f t="shared" si="33"/>
        <v>0</v>
      </c>
      <c r="U163">
        <f t="shared" si="37"/>
        <v>26</v>
      </c>
      <c r="V163">
        <f t="shared" si="38"/>
        <v>0</v>
      </c>
      <c r="W163">
        <f t="shared" si="34"/>
        <v>0</v>
      </c>
      <c r="X163">
        <f t="shared" si="35"/>
        <v>0</v>
      </c>
    </row>
    <row r="164" spans="1:24" x14ac:dyDescent="0.2">
      <c r="A164" t="s">
        <v>16</v>
      </c>
      <c r="B164">
        <v>2022</v>
      </c>
      <c r="C164" t="s">
        <v>7</v>
      </c>
      <c r="D164" s="1">
        <v>44651</v>
      </c>
      <c r="E164" s="14">
        <v>0</v>
      </c>
      <c r="F164" t="s">
        <v>12</v>
      </c>
      <c r="G164" t="str">
        <f t="shared" si="36"/>
        <v>no repurchases reported</v>
      </c>
      <c r="H164" t="str">
        <f t="shared" si="26"/>
        <v>LUV-2022-Q1</v>
      </c>
      <c r="I164" s="3">
        <f>_xlfn.XLOOKUP(H164,prices!A:A,prices!F:F,"no match")</f>
        <v>40.36</v>
      </c>
      <c r="J164">
        <f>_xlfn.XLOOKUP(A164,current!$A:$A,current!$B:$B,"no match")</f>
        <v>39.619999999999997</v>
      </c>
      <c r="K164">
        <f t="shared" si="27"/>
        <v>0</v>
      </c>
      <c r="L164">
        <f t="shared" si="28"/>
        <v>0</v>
      </c>
      <c r="M164">
        <f t="shared" si="29"/>
        <v>0</v>
      </c>
      <c r="N164" t="str">
        <f t="shared" si="30"/>
        <v>SPY-2022-Q1</v>
      </c>
      <c r="O164">
        <f>_xlfn.XLOOKUP(N164,prices!$A:$A,prices!$F:$F,"no match")</f>
        <v>419.12</v>
      </c>
      <c r="P164">
        <f t="shared" si="31"/>
        <v>0</v>
      </c>
      <c r="Q164">
        <f>IF(P164="","",P164*assumptions!$B$4)</f>
        <v>0</v>
      </c>
      <c r="R164" s="10">
        <f t="shared" ca="1" si="32"/>
        <v>4.4407939767282683</v>
      </c>
      <c r="S164">
        <f ca="1">IF(E164="","",E164*1000000*(1+assumptions!$B$3)^R164)</f>
        <v>0</v>
      </c>
      <c r="T164">
        <f t="shared" si="33"/>
        <v>0</v>
      </c>
      <c r="U164">
        <f t="shared" si="37"/>
        <v>26</v>
      </c>
      <c r="V164">
        <f t="shared" si="38"/>
        <v>0</v>
      </c>
      <c r="W164">
        <f t="shared" si="34"/>
        <v>0</v>
      </c>
      <c r="X164">
        <f t="shared" si="35"/>
        <v>0</v>
      </c>
    </row>
    <row r="165" spans="1:24" x14ac:dyDescent="0.2">
      <c r="A165" t="s">
        <v>16</v>
      </c>
      <c r="B165">
        <v>2022</v>
      </c>
      <c r="C165" t="s">
        <v>9</v>
      </c>
      <c r="D165" s="1">
        <v>44742</v>
      </c>
      <c r="E165" s="14">
        <v>0</v>
      </c>
      <c r="F165" t="s">
        <v>12</v>
      </c>
      <c r="G165" t="str">
        <f t="shared" si="36"/>
        <v>no repurchases reported</v>
      </c>
      <c r="H165" t="str">
        <f t="shared" si="26"/>
        <v>LUV-2022-Q2</v>
      </c>
      <c r="I165" s="3">
        <f>_xlfn.XLOOKUP(H165,prices!A:A,prices!F:F,"no match")</f>
        <v>39.47</v>
      </c>
      <c r="J165">
        <f>_xlfn.XLOOKUP(A165,current!$A:$A,current!$B:$B,"no match")</f>
        <v>39.619999999999997</v>
      </c>
      <c r="K165">
        <f t="shared" si="27"/>
        <v>0</v>
      </c>
      <c r="L165">
        <f t="shared" si="28"/>
        <v>0</v>
      </c>
      <c r="M165">
        <f t="shared" si="29"/>
        <v>0</v>
      </c>
      <c r="N165" t="str">
        <f t="shared" si="30"/>
        <v>SPY-2022-Q2</v>
      </c>
      <c r="O165">
        <f>_xlfn.XLOOKUP(N165,prices!$A:$A,prices!$F:$F,"no match")</f>
        <v>386.88</v>
      </c>
      <c r="P165">
        <f t="shared" si="31"/>
        <v>0</v>
      </c>
      <c r="Q165">
        <f>IF(P165="","",P165*assumptions!$B$4)</f>
        <v>0</v>
      </c>
      <c r="R165" s="10">
        <f t="shared" ca="1" si="32"/>
        <v>4.1916495550992474</v>
      </c>
      <c r="S165">
        <f ca="1">IF(E165="","",E165*1000000*(1+assumptions!$B$3)^R165)</f>
        <v>0</v>
      </c>
      <c r="T165">
        <f t="shared" si="33"/>
        <v>0</v>
      </c>
      <c r="U165">
        <f t="shared" si="37"/>
        <v>26</v>
      </c>
      <c r="V165">
        <f t="shared" si="38"/>
        <v>0</v>
      </c>
      <c r="W165">
        <f t="shared" si="34"/>
        <v>0</v>
      </c>
      <c r="X165">
        <f t="shared" si="35"/>
        <v>0</v>
      </c>
    </row>
    <row r="166" spans="1:24" x14ac:dyDescent="0.2">
      <c r="A166" t="s">
        <v>16</v>
      </c>
      <c r="B166">
        <v>2022</v>
      </c>
      <c r="C166" t="s">
        <v>10</v>
      </c>
      <c r="D166" s="1">
        <v>44834</v>
      </c>
      <c r="E166" s="14">
        <v>0</v>
      </c>
      <c r="F166" t="s">
        <v>12</v>
      </c>
      <c r="G166" t="str">
        <f t="shared" si="36"/>
        <v>no repurchases reported</v>
      </c>
      <c r="H166" t="str">
        <f t="shared" si="26"/>
        <v>LUV-2022-Q3</v>
      </c>
      <c r="I166" s="3">
        <f>_xlfn.XLOOKUP(H166,prices!A:A,prices!F:F,"no match")</f>
        <v>34.39</v>
      </c>
      <c r="J166">
        <f>_xlfn.XLOOKUP(A166,current!$A:$A,current!$B:$B,"no match")</f>
        <v>39.619999999999997</v>
      </c>
      <c r="K166">
        <f t="shared" si="27"/>
        <v>0</v>
      </c>
      <c r="L166">
        <f t="shared" si="28"/>
        <v>0</v>
      </c>
      <c r="M166">
        <f t="shared" si="29"/>
        <v>0</v>
      </c>
      <c r="N166" t="str">
        <f t="shared" si="30"/>
        <v>SPY-2022-Q3</v>
      </c>
      <c r="O166">
        <f>_xlfn.XLOOKUP(N166,prices!$A:$A,prices!$F:$F,"no match")</f>
        <v>376.69</v>
      </c>
      <c r="P166">
        <f t="shared" si="31"/>
        <v>0</v>
      </c>
      <c r="Q166">
        <f>IF(P166="","",P166*assumptions!$B$4)</f>
        <v>0</v>
      </c>
      <c r="R166" s="10">
        <f t="shared" ca="1" si="32"/>
        <v>3.9397672826830936</v>
      </c>
      <c r="S166">
        <f ca="1">IF(E166="","",E166*1000000*(1+assumptions!$B$3)^R166)</f>
        <v>0</v>
      </c>
      <c r="T166">
        <f t="shared" si="33"/>
        <v>0</v>
      </c>
      <c r="U166">
        <f t="shared" si="37"/>
        <v>26</v>
      </c>
      <c r="V166">
        <f t="shared" si="38"/>
        <v>0</v>
      </c>
      <c r="W166">
        <f t="shared" si="34"/>
        <v>0</v>
      </c>
      <c r="X166">
        <f t="shared" si="35"/>
        <v>0</v>
      </c>
    </row>
    <row r="167" spans="1:24" x14ac:dyDescent="0.2">
      <c r="A167" t="s">
        <v>16</v>
      </c>
      <c r="B167">
        <v>2022</v>
      </c>
      <c r="C167" t="s">
        <v>11</v>
      </c>
      <c r="D167" s="1">
        <v>44926</v>
      </c>
      <c r="E167" s="14">
        <v>0</v>
      </c>
      <c r="F167" t="s">
        <v>8</v>
      </c>
      <c r="G167" t="str">
        <f t="shared" si="36"/>
        <v/>
      </c>
      <c r="H167" t="str">
        <f t="shared" si="26"/>
        <v>LUV-2022-Q4</v>
      </c>
      <c r="I167" s="3">
        <f>_xlfn.XLOOKUP(H167,prices!A:A,prices!F:F,"no match")</f>
        <v>33.1</v>
      </c>
      <c r="J167">
        <f>_xlfn.XLOOKUP(A167,current!$A:$A,current!$B:$B,"no match")</f>
        <v>39.619999999999997</v>
      </c>
      <c r="K167">
        <f t="shared" si="27"/>
        <v>0</v>
      </c>
      <c r="L167">
        <f t="shared" si="28"/>
        <v>0</v>
      </c>
      <c r="M167">
        <f t="shared" si="29"/>
        <v>0</v>
      </c>
      <c r="N167" t="str">
        <f t="shared" si="30"/>
        <v>SPY-2022-Q4</v>
      </c>
      <c r="O167">
        <f>_xlfn.XLOOKUP(N167,prices!$A:$A,prices!$F:$F,"no match")</f>
        <v>366.1</v>
      </c>
      <c r="P167">
        <f t="shared" si="31"/>
        <v>0</v>
      </c>
      <c r="Q167">
        <f>IF(P167="","",P167*assumptions!$B$4)</f>
        <v>0</v>
      </c>
      <c r="R167" s="10">
        <f t="shared" ca="1" si="32"/>
        <v>3.6878850102669403</v>
      </c>
      <c r="S167">
        <f ca="1">IF(E167="","",E167*1000000*(1+assumptions!$B$3)^R167)</f>
        <v>0</v>
      </c>
      <c r="T167">
        <f t="shared" si="33"/>
        <v>0</v>
      </c>
      <c r="U167">
        <f t="shared" si="37"/>
        <v>26</v>
      </c>
      <c r="V167">
        <f t="shared" si="38"/>
        <v>0</v>
      </c>
      <c r="W167">
        <f t="shared" si="34"/>
        <v>0</v>
      </c>
      <c r="X167">
        <f t="shared" si="35"/>
        <v>0</v>
      </c>
    </row>
    <row r="168" spans="1:24" x14ac:dyDescent="0.2">
      <c r="A168" t="s">
        <v>16</v>
      </c>
      <c r="B168">
        <v>2023</v>
      </c>
      <c r="C168" t="s">
        <v>7</v>
      </c>
      <c r="D168" s="1">
        <v>45016</v>
      </c>
      <c r="E168" s="14">
        <v>0</v>
      </c>
      <c r="F168" t="s">
        <v>12</v>
      </c>
      <c r="G168" t="str">
        <f t="shared" si="36"/>
        <v>no repurchases reported</v>
      </c>
      <c r="H168" t="str">
        <f t="shared" si="26"/>
        <v>LUV-2023-Q1</v>
      </c>
      <c r="I168" s="3">
        <f>_xlfn.XLOOKUP(H168,prices!A:A,prices!F:F,"no match")</f>
        <v>31.42</v>
      </c>
      <c r="J168">
        <f>_xlfn.XLOOKUP(A168,current!$A:$A,current!$B:$B,"no match")</f>
        <v>39.619999999999997</v>
      </c>
      <c r="K168">
        <f t="shared" si="27"/>
        <v>0</v>
      </c>
      <c r="L168">
        <f t="shared" si="28"/>
        <v>0</v>
      </c>
      <c r="M168">
        <f t="shared" si="29"/>
        <v>0</v>
      </c>
      <c r="N168" t="str">
        <f t="shared" si="30"/>
        <v>SPY-2023-Q1</v>
      </c>
      <c r="O168">
        <f>_xlfn.XLOOKUP(N168,prices!$A:$A,prices!$F:$F,"no match")</f>
        <v>381.76</v>
      </c>
      <c r="P168">
        <f t="shared" si="31"/>
        <v>0</v>
      </c>
      <c r="Q168">
        <f>IF(P168="","",P168*assumptions!$B$4)</f>
        <v>0</v>
      </c>
      <c r="R168" s="10">
        <f t="shared" ca="1" si="32"/>
        <v>3.4414784394250515</v>
      </c>
      <c r="S168">
        <f ca="1">IF(E168="","",E168*1000000*(1+assumptions!$B$3)^R168)</f>
        <v>0</v>
      </c>
      <c r="T168">
        <f t="shared" si="33"/>
        <v>0</v>
      </c>
      <c r="U168">
        <f t="shared" si="37"/>
        <v>26</v>
      </c>
      <c r="V168">
        <f t="shared" si="38"/>
        <v>0</v>
      </c>
      <c r="W168">
        <f t="shared" si="34"/>
        <v>0</v>
      </c>
      <c r="X168">
        <f t="shared" si="35"/>
        <v>0</v>
      </c>
    </row>
    <row r="169" spans="1:24" x14ac:dyDescent="0.2">
      <c r="A169" t="s">
        <v>16</v>
      </c>
      <c r="B169">
        <v>2023</v>
      </c>
      <c r="C169" t="s">
        <v>9</v>
      </c>
      <c r="D169" s="1">
        <v>45107</v>
      </c>
      <c r="E169" s="14">
        <v>0</v>
      </c>
      <c r="F169" t="s">
        <v>12</v>
      </c>
      <c r="G169" t="str">
        <f t="shared" si="36"/>
        <v>no repurchases reported</v>
      </c>
      <c r="H169" t="str">
        <f t="shared" si="26"/>
        <v>LUV-2023-Q2</v>
      </c>
      <c r="I169" s="3">
        <f>_xlfn.XLOOKUP(H169,prices!A:A,prices!F:F,"no match")</f>
        <v>29.11</v>
      </c>
      <c r="J169">
        <f>_xlfn.XLOOKUP(A169,current!$A:$A,current!$B:$B,"no match")</f>
        <v>39.619999999999997</v>
      </c>
      <c r="K169">
        <f t="shared" si="27"/>
        <v>0</v>
      </c>
      <c r="L169">
        <f t="shared" si="28"/>
        <v>0</v>
      </c>
      <c r="M169">
        <f t="shared" si="29"/>
        <v>0</v>
      </c>
      <c r="N169" t="str">
        <f t="shared" si="30"/>
        <v>SPY-2023-Q2</v>
      </c>
      <c r="O169">
        <f>_xlfn.XLOOKUP(N169,prices!$A:$A,prices!$F:$F,"no match")</f>
        <v>403.08</v>
      </c>
      <c r="P169">
        <f t="shared" si="31"/>
        <v>0</v>
      </c>
      <c r="Q169">
        <f>IF(P169="","",P169*assumptions!$B$4)</f>
        <v>0</v>
      </c>
      <c r="R169" s="10">
        <f t="shared" ca="1" si="32"/>
        <v>3.1923340177960302</v>
      </c>
      <c r="S169">
        <f ca="1">IF(E169="","",E169*1000000*(1+assumptions!$B$3)^R169)</f>
        <v>0</v>
      </c>
      <c r="T169">
        <f t="shared" si="33"/>
        <v>0</v>
      </c>
      <c r="U169">
        <f t="shared" si="37"/>
        <v>26</v>
      </c>
      <c r="V169">
        <f t="shared" si="38"/>
        <v>0</v>
      </c>
      <c r="W169">
        <f t="shared" si="34"/>
        <v>0</v>
      </c>
      <c r="X169">
        <f t="shared" si="35"/>
        <v>0</v>
      </c>
    </row>
    <row r="170" spans="1:24" x14ac:dyDescent="0.2">
      <c r="A170" t="s">
        <v>16</v>
      </c>
      <c r="B170">
        <v>2023</v>
      </c>
      <c r="C170" t="s">
        <v>10</v>
      </c>
      <c r="D170" s="1">
        <v>45199</v>
      </c>
      <c r="E170" s="14">
        <v>0</v>
      </c>
      <c r="F170" t="s">
        <v>12</v>
      </c>
      <c r="G170" t="str">
        <f t="shared" si="36"/>
        <v>no repurchases reported</v>
      </c>
      <c r="H170" t="str">
        <f t="shared" si="26"/>
        <v>LUV-2023-Q3</v>
      </c>
      <c r="I170" s="3">
        <f>_xlfn.XLOOKUP(H170,prices!A:A,prices!F:F,"no match")</f>
        <v>30.48</v>
      </c>
      <c r="J170">
        <f>_xlfn.XLOOKUP(A170,current!$A:$A,current!$B:$B,"no match")</f>
        <v>39.619999999999997</v>
      </c>
      <c r="K170">
        <f t="shared" si="27"/>
        <v>0</v>
      </c>
      <c r="L170">
        <f t="shared" si="28"/>
        <v>0</v>
      </c>
      <c r="M170">
        <f t="shared" si="29"/>
        <v>0</v>
      </c>
      <c r="N170" t="str">
        <f t="shared" si="30"/>
        <v>SPY-2023-Q3</v>
      </c>
      <c r="O170">
        <f>_xlfn.XLOOKUP(N170,prices!$A:$A,prices!$F:$F,"no match")</f>
        <v>428.75</v>
      </c>
      <c r="P170">
        <f t="shared" si="31"/>
        <v>0</v>
      </c>
      <c r="Q170">
        <f>IF(P170="","",P170*assumptions!$B$4)</f>
        <v>0</v>
      </c>
      <c r="R170" s="10">
        <f t="shared" ca="1" si="32"/>
        <v>2.9404517453798769</v>
      </c>
      <c r="S170">
        <f ca="1">IF(E170="","",E170*1000000*(1+assumptions!$B$3)^R170)</f>
        <v>0</v>
      </c>
      <c r="T170">
        <f t="shared" si="33"/>
        <v>0</v>
      </c>
      <c r="U170">
        <f t="shared" si="37"/>
        <v>26</v>
      </c>
      <c r="V170">
        <f t="shared" si="38"/>
        <v>0</v>
      </c>
      <c r="W170">
        <f t="shared" si="34"/>
        <v>0</v>
      </c>
      <c r="X170">
        <f t="shared" si="35"/>
        <v>0</v>
      </c>
    </row>
    <row r="171" spans="1:24" x14ac:dyDescent="0.2">
      <c r="A171" t="s">
        <v>16</v>
      </c>
      <c r="B171">
        <v>2023</v>
      </c>
      <c r="C171" t="s">
        <v>11</v>
      </c>
      <c r="D171" s="1">
        <v>45291</v>
      </c>
      <c r="E171" s="14">
        <v>0</v>
      </c>
      <c r="F171" t="s">
        <v>8</v>
      </c>
      <c r="G171" t="str">
        <f t="shared" si="36"/>
        <v/>
      </c>
      <c r="H171" t="str">
        <f t="shared" si="26"/>
        <v>LUV-2023-Q4</v>
      </c>
      <c r="I171" s="3">
        <f>_xlfn.XLOOKUP(H171,prices!A:A,prices!F:F,"no match")</f>
        <v>24.42</v>
      </c>
      <c r="J171">
        <f>_xlfn.XLOOKUP(A171,current!$A:$A,current!$B:$B,"no match")</f>
        <v>39.619999999999997</v>
      </c>
      <c r="K171">
        <f t="shared" si="27"/>
        <v>0</v>
      </c>
      <c r="L171">
        <f t="shared" si="28"/>
        <v>0</v>
      </c>
      <c r="M171">
        <f t="shared" si="29"/>
        <v>0</v>
      </c>
      <c r="N171" t="str">
        <f t="shared" si="30"/>
        <v>SPY-2023-Q4</v>
      </c>
      <c r="O171">
        <f>_xlfn.XLOOKUP(N171,prices!$A:$A,prices!$F:$F,"no match")</f>
        <v>430.96</v>
      </c>
      <c r="P171">
        <f t="shared" si="31"/>
        <v>0</v>
      </c>
      <c r="Q171">
        <f>IF(P171="","",P171*assumptions!$B$4)</f>
        <v>0</v>
      </c>
      <c r="R171" s="10">
        <f t="shared" ca="1" si="32"/>
        <v>2.6885694729637235</v>
      </c>
      <c r="S171">
        <f ca="1">IF(E171="","",E171*1000000*(1+assumptions!$B$3)^R171)</f>
        <v>0</v>
      </c>
      <c r="T171">
        <f t="shared" si="33"/>
        <v>0</v>
      </c>
      <c r="U171">
        <f t="shared" si="37"/>
        <v>26</v>
      </c>
      <c r="V171">
        <f t="shared" si="38"/>
        <v>0</v>
      </c>
      <c r="W171">
        <f t="shared" si="34"/>
        <v>0</v>
      </c>
      <c r="X171">
        <f t="shared" si="35"/>
        <v>0</v>
      </c>
    </row>
    <row r="172" spans="1:24" x14ac:dyDescent="0.2">
      <c r="A172" t="s">
        <v>16</v>
      </c>
      <c r="B172">
        <v>2024</v>
      </c>
      <c r="C172" t="s">
        <v>7</v>
      </c>
      <c r="D172" s="1">
        <v>45382</v>
      </c>
      <c r="E172" s="14">
        <v>0</v>
      </c>
      <c r="F172" t="s">
        <v>8</v>
      </c>
      <c r="G172" t="str">
        <f t="shared" si="36"/>
        <v/>
      </c>
      <c r="H172" t="str">
        <f t="shared" si="26"/>
        <v>LUV-2024-Q1</v>
      </c>
      <c r="I172" s="3">
        <f>_xlfn.XLOOKUP(H172,prices!A:A,prices!F:F,"no match")</f>
        <v>29.26</v>
      </c>
      <c r="J172">
        <f>_xlfn.XLOOKUP(A172,current!$A:$A,current!$B:$B,"no match")</f>
        <v>39.619999999999997</v>
      </c>
      <c r="K172">
        <f t="shared" si="27"/>
        <v>0</v>
      </c>
      <c r="L172">
        <f t="shared" si="28"/>
        <v>0</v>
      </c>
      <c r="M172">
        <f t="shared" si="29"/>
        <v>0</v>
      </c>
      <c r="N172" t="str">
        <f t="shared" si="30"/>
        <v>SPY-2024-Q1</v>
      </c>
      <c r="O172">
        <f>_xlfn.XLOOKUP(N172,prices!$A:$A,prices!$F:$F,"no match")</f>
        <v>483.53</v>
      </c>
      <c r="P172">
        <f t="shared" si="31"/>
        <v>0</v>
      </c>
      <c r="Q172">
        <f>IF(P172="","",P172*assumptions!$B$4)</f>
        <v>0</v>
      </c>
      <c r="R172" s="10">
        <f t="shared" ca="1" si="32"/>
        <v>2.4394250513347022</v>
      </c>
      <c r="S172">
        <f ca="1">IF(E172="","",E172*1000000*(1+assumptions!$B$3)^R172)</f>
        <v>0</v>
      </c>
      <c r="T172">
        <f t="shared" si="33"/>
        <v>0</v>
      </c>
      <c r="U172">
        <f t="shared" si="37"/>
        <v>26</v>
      </c>
      <c r="V172">
        <f t="shared" si="38"/>
        <v>0</v>
      </c>
      <c r="W172">
        <f t="shared" si="34"/>
        <v>0</v>
      </c>
      <c r="X172">
        <f t="shared" si="35"/>
        <v>0</v>
      </c>
    </row>
    <row r="173" spans="1:24" x14ac:dyDescent="0.2">
      <c r="A173" t="s">
        <v>16</v>
      </c>
      <c r="B173">
        <v>2024</v>
      </c>
      <c r="C173" t="s">
        <v>9</v>
      </c>
      <c r="D173" s="1">
        <v>45473</v>
      </c>
      <c r="E173" s="14">
        <v>0</v>
      </c>
      <c r="F173" t="s">
        <v>8</v>
      </c>
      <c r="G173" t="str">
        <f t="shared" si="36"/>
        <v/>
      </c>
      <c r="H173" t="str">
        <f t="shared" si="26"/>
        <v>LUV-2024-Q2</v>
      </c>
      <c r="I173" s="3">
        <f>_xlfn.XLOOKUP(H173,prices!A:A,prices!F:F,"no match")</f>
        <v>26.49</v>
      </c>
      <c r="J173">
        <f>_xlfn.XLOOKUP(A173,current!$A:$A,current!$B:$B,"no match")</f>
        <v>39.619999999999997</v>
      </c>
      <c r="K173">
        <f t="shared" si="27"/>
        <v>0</v>
      </c>
      <c r="L173">
        <f t="shared" si="28"/>
        <v>0</v>
      </c>
      <c r="M173">
        <f t="shared" si="29"/>
        <v>0</v>
      </c>
      <c r="N173" t="str">
        <f t="shared" si="30"/>
        <v>SPY-2024-Q2</v>
      </c>
      <c r="O173">
        <f>_xlfn.XLOOKUP(N173,prices!$A:$A,prices!$F:$F,"no match")</f>
        <v>509.8</v>
      </c>
      <c r="P173">
        <f t="shared" si="31"/>
        <v>0</v>
      </c>
      <c r="Q173">
        <f>IF(P173="","",P173*assumptions!$B$4)</f>
        <v>0</v>
      </c>
      <c r="R173" s="10">
        <f t="shared" ca="1" si="32"/>
        <v>2.1902806297056809</v>
      </c>
      <c r="S173">
        <f ca="1">IF(E173="","",E173*1000000*(1+assumptions!$B$3)^R173)</f>
        <v>0</v>
      </c>
      <c r="T173">
        <f t="shared" si="33"/>
        <v>0</v>
      </c>
      <c r="U173">
        <f t="shared" si="37"/>
        <v>26</v>
      </c>
      <c r="V173">
        <f t="shared" si="38"/>
        <v>0</v>
      </c>
      <c r="W173">
        <f t="shared" si="34"/>
        <v>0</v>
      </c>
      <c r="X173">
        <f t="shared" si="35"/>
        <v>0</v>
      </c>
    </row>
    <row r="174" spans="1:24" x14ac:dyDescent="0.2">
      <c r="A174" t="s">
        <v>16</v>
      </c>
      <c r="B174">
        <v>2024</v>
      </c>
      <c r="C174" t="s">
        <v>10</v>
      </c>
      <c r="D174" s="1">
        <v>45565</v>
      </c>
      <c r="E174" s="14">
        <v>0</v>
      </c>
      <c r="F174" t="s">
        <v>8</v>
      </c>
      <c r="G174" t="str">
        <f t="shared" si="36"/>
        <v/>
      </c>
      <c r="H174" t="str">
        <f t="shared" si="26"/>
        <v>LUV-2024-Q3</v>
      </c>
      <c r="I174" s="3">
        <f>_xlfn.XLOOKUP(H174,prices!A:A,prices!F:F,"no match")</f>
        <v>26.48</v>
      </c>
      <c r="J174">
        <f>_xlfn.XLOOKUP(A174,current!$A:$A,current!$B:$B,"no match")</f>
        <v>39.619999999999997</v>
      </c>
      <c r="K174">
        <f t="shared" si="27"/>
        <v>0</v>
      </c>
      <c r="L174">
        <f t="shared" si="28"/>
        <v>0</v>
      </c>
      <c r="M174">
        <f t="shared" si="29"/>
        <v>0</v>
      </c>
      <c r="N174" t="str">
        <f t="shared" si="30"/>
        <v>SPY-2024-Q3</v>
      </c>
      <c r="O174">
        <f>_xlfn.XLOOKUP(N174,prices!$A:$A,prices!$F:$F,"no match")</f>
        <v>540.33000000000004</v>
      </c>
      <c r="P174">
        <f t="shared" si="31"/>
        <v>0</v>
      </c>
      <c r="Q174">
        <f>IF(P174="","",P174*assumptions!$B$4)</f>
        <v>0</v>
      </c>
      <c r="R174" s="10">
        <f t="shared" ca="1" si="32"/>
        <v>1.9383983572895278</v>
      </c>
      <c r="S174">
        <f ca="1">IF(E174="","",E174*1000000*(1+assumptions!$B$3)^R174)</f>
        <v>0</v>
      </c>
      <c r="T174">
        <f t="shared" si="33"/>
        <v>0</v>
      </c>
      <c r="U174">
        <f t="shared" si="37"/>
        <v>26</v>
      </c>
      <c r="V174">
        <f t="shared" si="38"/>
        <v>0</v>
      </c>
      <c r="W174">
        <f t="shared" si="34"/>
        <v>0</v>
      </c>
      <c r="X174">
        <f t="shared" si="35"/>
        <v>0</v>
      </c>
    </row>
    <row r="175" spans="1:24" x14ac:dyDescent="0.2">
      <c r="A175" t="s">
        <v>16</v>
      </c>
      <c r="B175">
        <v>2024</v>
      </c>
      <c r="C175" t="s">
        <v>11</v>
      </c>
      <c r="D175" s="1">
        <v>45657</v>
      </c>
      <c r="E175" s="14">
        <v>250</v>
      </c>
      <c r="F175" t="s">
        <v>8</v>
      </c>
      <c r="G175" t="str">
        <f t="shared" si="36"/>
        <v/>
      </c>
      <c r="H175" t="str">
        <f t="shared" si="26"/>
        <v>LUV-2024-Q4</v>
      </c>
      <c r="I175" s="3">
        <f>_xlfn.XLOOKUP(H175,prices!A:A,prices!F:F,"no match")</f>
        <v>30.66</v>
      </c>
      <c r="J175">
        <f>_xlfn.XLOOKUP(A175,current!$A:$A,current!$B:$B,"no match")</f>
        <v>39.619999999999997</v>
      </c>
      <c r="K175">
        <f t="shared" si="27"/>
        <v>8153946.5101108933</v>
      </c>
      <c r="L175">
        <f t="shared" si="28"/>
        <v>323059360.73059356</v>
      </c>
      <c r="M175">
        <f t="shared" si="29"/>
        <v>11414250</v>
      </c>
      <c r="N175" t="str">
        <f t="shared" si="30"/>
        <v>SPY-2024-Q4</v>
      </c>
      <c r="O175">
        <f>_xlfn.XLOOKUP(N175,prices!$A:$A,prices!$F:$F,"no match")</f>
        <v>577.52</v>
      </c>
      <c r="P175">
        <f t="shared" si="31"/>
        <v>432885.44119684165</v>
      </c>
      <c r="Q175">
        <f>IF(P175="","",P175*assumptions!$B$4)</f>
        <v>333404037.95539552</v>
      </c>
      <c r="R175" s="10">
        <f t="shared" ca="1" si="32"/>
        <v>1.6865160848733745</v>
      </c>
      <c r="S175">
        <f ca="1">IF(E175="","",E175*1000000*(1+assumptions!$B$3)^R175)</f>
        <v>266879237.33061829</v>
      </c>
      <c r="T175">
        <f t="shared" si="33"/>
        <v>1</v>
      </c>
      <c r="U175">
        <f t="shared" si="37"/>
        <v>26</v>
      </c>
      <c r="V175">
        <f t="shared" si="38"/>
        <v>501.19230769230768</v>
      </c>
      <c r="W175">
        <f t="shared" si="34"/>
        <v>16346781.072808469</v>
      </c>
      <c r="X175">
        <f t="shared" si="35"/>
        <v>647659466.10467148</v>
      </c>
    </row>
    <row r="176" spans="1:24" x14ac:dyDescent="0.2">
      <c r="A176" t="s">
        <v>16</v>
      </c>
      <c r="B176">
        <v>2025</v>
      </c>
      <c r="C176" t="s">
        <v>7</v>
      </c>
      <c r="D176" s="1">
        <v>45747</v>
      </c>
      <c r="E176" s="14">
        <v>750</v>
      </c>
      <c r="F176" t="s">
        <v>8</v>
      </c>
      <c r="G176" t="str">
        <f t="shared" si="36"/>
        <v/>
      </c>
      <c r="H176" t="str">
        <f t="shared" si="26"/>
        <v>LUV-2025-Q1</v>
      </c>
      <c r="I176" s="3">
        <f>_xlfn.XLOOKUP(H176,prices!A:A,prices!F:F,"no match")</f>
        <v>30.62</v>
      </c>
      <c r="J176">
        <f>_xlfn.XLOOKUP(A176,current!$A:$A,current!$B:$B,"no match")</f>
        <v>39.619999999999997</v>
      </c>
      <c r="K176">
        <f t="shared" si="27"/>
        <v>24493794.90529066</v>
      </c>
      <c r="L176">
        <f t="shared" si="28"/>
        <v>970444154.14761591</v>
      </c>
      <c r="M176">
        <f t="shared" si="29"/>
        <v>34310250</v>
      </c>
      <c r="N176" t="str">
        <f t="shared" si="30"/>
        <v>SPY-2025-Q1</v>
      </c>
      <c r="O176">
        <f>_xlfn.XLOOKUP(N176,prices!$A:$A,prices!$F:$F,"no match")</f>
        <v>578.08000000000004</v>
      </c>
      <c r="P176">
        <f t="shared" si="31"/>
        <v>1297398.2839745362</v>
      </c>
      <c r="Q176">
        <f>IF(P176="","",P176*assumptions!$B$4)</f>
        <v>999243184.33434808</v>
      </c>
      <c r="R176" s="10">
        <f t="shared" ca="1" si="32"/>
        <v>1.4401095140314852</v>
      </c>
      <c r="S176">
        <f ca="1">IF(E176="","",E176*1000000*(1+assumptions!$B$3)^R176)</f>
        <v>793031387.73976719</v>
      </c>
      <c r="T176">
        <f t="shared" si="33"/>
        <v>1</v>
      </c>
      <c r="U176">
        <f t="shared" si="37"/>
        <v>26</v>
      </c>
      <c r="V176">
        <f t="shared" si="38"/>
        <v>501.19230769230768</v>
      </c>
      <c r="W176">
        <f t="shared" si="34"/>
        <v>16368135.456966285</v>
      </c>
      <c r="X176">
        <f t="shared" si="35"/>
        <v>648505526.80500412</v>
      </c>
    </row>
    <row r="177" spans="1:24" x14ac:dyDescent="0.2">
      <c r="A177" t="s">
        <v>16</v>
      </c>
      <c r="B177">
        <v>2025</v>
      </c>
      <c r="C177" t="s">
        <v>9</v>
      </c>
      <c r="D177" s="1">
        <v>45838</v>
      </c>
      <c r="E177" s="14">
        <v>1500</v>
      </c>
      <c r="F177" t="s">
        <v>8</v>
      </c>
      <c r="G177" t="str">
        <f t="shared" si="36"/>
        <v/>
      </c>
      <c r="H177" t="str">
        <f t="shared" si="26"/>
        <v>LUV-2025-Q2</v>
      </c>
      <c r="I177" s="3">
        <f>_xlfn.XLOOKUP(H177,prices!A:A,prices!F:F,"no match")</f>
        <v>29.28</v>
      </c>
      <c r="J177">
        <f>_xlfn.XLOOKUP(A177,current!$A:$A,current!$B:$B,"no match")</f>
        <v>39.619999999999997</v>
      </c>
      <c r="K177">
        <f t="shared" si="27"/>
        <v>51229508.196721308</v>
      </c>
      <c r="L177">
        <f t="shared" si="28"/>
        <v>2029713114.7540982</v>
      </c>
      <c r="M177">
        <f t="shared" si="29"/>
        <v>68757000</v>
      </c>
      <c r="N177" t="str">
        <f t="shared" si="30"/>
        <v>SPY-2025-Q2</v>
      </c>
      <c r="O177">
        <f>_xlfn.XLOOKUP(N177,prices!$A:$A,prices!$F:$F,"no match")</f>
        <v>563.91</v>
      </c>
      <c r="P177">
        <f t="shared" si="31"/>
        <v>2659998.9360004258</v>
      </c>
      <c r="Q177">
        <f>IF(P177="","",P177*assumptions!$B$4)</f>
        <v>2048704580.5181682</v>
      </c>
      <c r="R177" s="10">
        <f t="shared" ca="1" si="32"/>
        <v>1.1909650924024642</v>
      </c>
      <c r="S177">
        <f ca="1">IF(E177="","",E177*1000000*(1+assumptions!$B$3)^R177)</f>
        <v>1570828035.2545815</v>
      </c>
      <c r="T177">
        <f t="shared" si="33"/>
        <v>1</v>
      </c>
      <c r="U177">
        <f t="shared" si="37"/>
        <v>26</v>
      </c>
      <c r="V177">
        <f t="shared" si="38"/>
        <v>501.19230769230768</v>
      </c>
      <c r="W177">
        <f t="shared" si="34"/>
        <v>17117223.623371162</v>
      </c>
      <c r="X177">
        <f t="shared" si="35"/>
        <v>678184399.95796537</v>
      </c>
    </row>
    <row r="178" spans="1:24" x14ac:dyDescent="0.2">
      <c r="A178" t="s">
        <v>16</v>
      </c>
      <c r="B178">
        <v>2025</v>
      </c>
      <c r="C178" t="s">
        <v>10</v>
      </c>
      <c r="D178" s="1">
        <v>45930</v>
      </c>
      <c r="E178" s="14">
        <v>250</v>
      </c>
      <c r="F178" t="s">
        <v>8</v>
      </c>
      <c r="G178" t="str">
        <f t="shared" si="36"/>
        <v/>
      </c>
      <c r="H178" t="str">
        <f t="shared" si="26"/>
        <v>LUV-2025-Q3</v>
      </c>
      <c r="I178" s="3">
        <f>_xlfn.XLOOKUP(H178,prices!A:A,prices!F:F,"no match")</f>
        <v>32</v>
      </c>
      <c r="J178">
        <f>_xlfn.XLOOKUP(A178,current!$A:$A,current!$B:$B,"no match")</f>
        <v>39.619999999999997</v>
      </c>
      <c r="K178">
        <f t="shared" si="27"/>
        <v>7812500</v>
      </c>
      <c r="L178">
        <f t="shared" si="28"/>
        <v>309531250</v>
      </c>
      <c r="M178">
        <f t="shared" si="29"/>
        <v>11482500</v>
      </c>
      <c r="N178" t="str">
        <f t="shared" si="30"/>
        <v>SPY-2025-Q3</v>
      </c>
      <c r="O178">
        <f>_xlfn.XLOOKUP(N178,prices!$A:$A,prices!$F:$F,"no match")</f>
        <v>634.23</v>
      </c>
      <c r="P178">
        <f t="shared" si="31"/>
        <v>394178.76795484289</v>
      </c>
      <c r="Q178">
        <f>IF(P178="","",P178*assumptions!$B$4)</f>
        <v>303592545.29114044</v>
      </c>
      <c r="R178" s="10">
        <f t="shared" ca="1" si="32"/>
        <v>0.93908281998631071</v>
      </c>
      <c r="S178">
        <f ca="1">IF(E178="","",E178*1000000*(1+assumptions!$B$3)^R178)</f>
        <v>259262438.58796978</v>
      </c>
      <c r="T178">
        <f t="shared" si="33"/>
        <v>1</v>
      </c>
      <c r="U178">
        <f t="shared" si="37"/>
        <v>26</v>
      </c>
      <c r="V178">
        <f t="shared" si="38"/>
        <v>501.19230769230768</v>
      </c>
      <c r="W178">
        <f t="shared" si="34"/>
        <v>15662259.615384614</v>
      </c>
      <c r="X178">
        <f t="shared" si="35"/>
        <v>620538725.96153831</v>
      </c>
    </row>
    <row r="179" spans="1:24" x14ac:dyDescent="0.2">
      <c r="A179" t="s">
        <v>16</v>
      </c>
      <c r="B179">
        <v>2025</v>
      </c>
      <c r="C179" t="s">
        <v>11</v>
      </c>
      <c r="D179" s="1">
        <v>46022</v>
      </c>
      <c r="E179" s="14">
        <v>50</v>
      </c>
      <c r="F179" t="s">
        <v>8</v>
      </c>
      <c r="G179" t="str">
        <f t="shared" si="36"/>
        <v/>
      </c>
      <c r="H179" t="str">
        <f t="shared" si="26"/>
        <v>LUV-2025-Q4</v>
      </c>
      <c r="I179" s="3">
        <f>_xlfn.XLOOKUP(H179,prices!A:A,prices!F:F,"no match")</f>
        <v>34.33</v>
      </c>
      <c r="J179">
        <f>_xlfn.XLOOKUP(A179,current!$A:$A,current!$B:$B,"no match")</f>
        <v>39.619999999999997</v>
      </c>
      <c r="K179">
        <f t="shared" si="27"/>
        <v>1456452.0827264783</v>
      </c>
      <c r="L179">
        <f t="shared" si="28"/>
        <v>57704631.517623067</v>
      </c>
      <c r="M179">
        <f t="shared" si="29"/>
        <v>2301100</v>
      </c>
      <c r="N179" t="str">
        <f t="shared" si="30"/>
        <v>SPY-2025-Q4</v>
      </c>
      <c r="O179">
        <f>_xlfn.XLOOKUP(N179,prices!$A:$A,prices!$F:$F,"no match")</f>
        <v>670.58</v>
      </c>
      <c r="P179">
        <f t="shared" si="31"/>
        <v>74562.319186375971</v>
      </c>
      <c r="Q179">
        <f>IF(P179="","",P179*assumptions!$B$4)</f>
        <v>57427152.614154913</v>
      </c>
      <c r="R179" s="10">
        <f t="shared" ca="1" si="32"/>
        <v>0.68720054757015747</v>
      </c>
      <c r="S179">
        <f ca="1">IF(E179="","",E179*1000000*(1+assumptions!$B$3)^R179)</f>
        <v>51348978.159805037</v>
      </c>
      <c r="T179">
        <f t="shared" si="33"/>
        <v>1</v>
      </c>
      <c r="U179">
        <f t="shared" si="37"/>
        <v>26</v>
      </c>
      <c r="V179">
        <f t="shared" si="38"/>
        <v>501.19230769230768</v>
      </c>
      <c r="W179">
        <f t="shared" si="34"/>
        <v>14599251.607699029</v>
      </c>
      <c r="X179">
        <f t="shared" si="35"/>
        <v>578422348.69703555</v>
      </c>
    </row>
    <row r="180" spans="1:24" x14ac:dyDescent="0.2">
      <c r="A180" t="s">
        <v>16</v>
      </c>
      <c r="B180">
        <v>2026</v>
      </c>
      <c r="C180" t="s">
        <v>7</v>
      </c>
      <c r="D180" s="1">
        <v>46112</v>
      </c>
      <c r="E180" s="14">
        <v>1250</v>
      </c>
      <c r="F180" t="s">
        <v>8</v>
      </c>
      <c r="G180" t="str">
        <f t="shared" si="36"/>
        <v/>
      </c>
      <c r="H180" t="str">
        <f t="shared" si="26"/>
        <v>LUV-2026-Q1</v>
      </c>
      <c r="I180" s="3">
        <f>_xlfn.XLOOKUP(H180,prices!A:A,prices!F:F,"no match")</f>
        <v>44.6</v>
      </c>
      <c r="J180">
        <f>_xlfn.XLOOKUP(A180,current!$A:$A,current!$B:$B,"no match")</f>
        <v>39.619999999999997</v>
      </c>
      <c r="K180">
        <f t="shared" si="27"/>
        <v>28026905.829596411</v>
      </c>
      <c r="L180">
        <f t="shared" si="28"/>
        <v>1110426008.9686098</v>
      </c>
      <c r="M180">
        <f t="shared" si="29"/>
        <v>57640000</v>
      </c>
      <c r="N180" t="str">
        <f t="shared" si="30"/>
        <v>SPY-2026-Q1</v>
      </c>
      <c r="O180">
        <f>_xlfn.XLOOKUP(N180,prices!$A:$A,prices!$F:$F,"no match")</f>
        <v>676.53</v>
      </c>
      <c r="P180">
        <f t="shared" si="31"/>
        <v>1847663.8138737381</v>
      </c>
      <c r="Q180">
        <f>IF(P180="","",P180*assumptions!$B$4)</f>
        <v>1423052192.8074143</v>
      </c>
      <c r="R180" s="10">
        <f t="shared" ca="1" si="32"/>
        <v>0.44079397672826831</v>
      </c>
      <c r="S180">
        <f ca="1">IF(E180="","",E180*1000000*(1+assumptions!$B$3)^R180)</f>
        <v>1271528645.2027462</v>
      </c>
      <c r="T180">
        <f t="shared" si="33"/>
        <v>1</v>
      </c>
      <c r="U180">
        <f t="shared" si="37"/>
        <v>26</v>
      </c>
      <c r="V180">
        <f t="shared" si="38"/>
        <v>501.19230769230768</v>
      </c>
      <c r="W180">
        <f t="shared" si="34"/>
        <v>11237495.688168332</v>
      </c>
      <c r="X180">
        <f t="shared" si="35"/>
        <v>445229579.16522926</v>
      </c>
    </row>
    <row r="181" spans="1:24" x14ac:dyDescent="0.2">
      <c r="A181" t="s">
        <v>16</v>
      </c>
      <c r="B181">
        <v>2026</v>
      </c>
      <c r="C181" t="s">
        <v>9</v>
      </c>
      <c r="D181" s="1">
        <v>46203</v>
      </c>
      <c r="E181" s="14">
        <v>0</v>
      </c>
      <c r="F181" t="s">
        <v>8</v>
      </c>
      <c r="G181" t="str">
        <f t="shared" si="36"/>
        <v/>
      </c>
      <c r="H181" t="str">
        <f t="shared" si="26"/>
        <v>LUV-2026-Q2</v>
      </c>
      <c r="I181" s="3">
        <f>_xlfn.XLOOKUP(H181,prices!A:A,prices!F:F,"no match")</f>
        <v>41.66</v>
      </c>
      <c r="J181">
        <f>_xlfn.XLOOKUP(A181,current!$A:$A,current!$B:$B,"no match")</f>
        <v>39.619999999999997</v>
      </c>
      <c r="K181">
        <f t="shared" si="27"/>
        <v>0</v>
      </c>
      <c r="L181">
        <f t="shared" si="28"/>
        <v>0</v>
      </c>
      <c r="M181">
        <f t="shared" si="29"/>
        <v>0</v>
      </c>
      <c r="N181" t="str">
        <f t="shared" si="30"/>
        <v>SPY-2026-Q2</v>
      </c>
      <c r="O181">
        <f>_xlfn.XLOOKUP(N181,prices!$A:$A,prices!$F:$F,"no match")</f>
        <v>723.39</v>
      </c>
      <c r="P181">
        <f t="shared" si="31"/>
        <v>0</v>
      </c>
      <c r="Q181">
        <f>IF(P181="","",P181*assumptions!$B$4)</f>
        <v>0</v>
      </c>
      <c r="R181" s="10">
        <f t="shared" ca="1" si="32"/>
        <v>0.19164955509924708</v>
      </c>
      <c r="S181">
        <f ca="1">IF(E181="","",E181*1000000*(1+assumptions!$B$3)^R181)</f>
        <v>0</v>
      </c>
      <c r="T181">
        <f t="shared" si="33"/>
        <v>0</v>
      </c>
      <c r="U181">
        <f t="shared" si="37"/>
        <v>26</v>
      </c>
      <c r="V181">
        <f t="shared" si="38"/>
        <v>0</v>
      </c>
      <c r="W181">
        <f t="shared" si="34"/>
        <v>0</v>
      </c>
      <c r="X181">
        <f t="shared" si="35"/>
        <v>0</v>
      </c>
    </row>
    <row r="182" spans="1:24" x14ac:dyDescent="0.2">
      <c r="A182" t="s">
        <v>17</v>
      </c>
      <c r="B182">
        <v>2015</v>
      </c>
      <c r="C182" t="s">
        <v>7</v>
      </c>
      <c r="D182" s="1">
        <v>42094</v>
      </c>
      <c r="E182" s="14">
        <v>195</v>
      </c>
      <c r="F182" t="s">
        <v>8</v>
      </c>
      <c r="G182" t="str">
        <f t="shared" si="36"/>
        <v/>
      </c>
      <c r="H182" t="str">
        <f t="shared" si="26"/>
        <v>UAL-2015-Q1</v>
      </c>
      <c r="I182" s="3">
        <f>_xlfn.XLOOKUP(H182,prices!A:A,prices!F:F,"no match")</f>
        <v>67.75</v>
      </c>
      <c r="J182">
        <f>_xlfn.XLOOKUP(A182,current!$A:$A,current!$B:$B,"no match")</f>
        <v>111.38</v>
      </c>
      <c r="K182">
        <f t="shared" si="27"/>
        <v>2878228.782287823</v>
      </c>
      <c r="L182">
        <f t="shared" si="28"/>
        <v>320577121.7712177</v>
      </c>
      <c r="M182">
        <f t="shared" si="29"/>
        <v>8208330</v>
      </c>
      <c r="N182" t="str">
        <f t="shared" si="30"/>
        <v>SPY-2015-Q1</v>
      </c>
      <c r="O182">
        <f>_xlfn.XLOOKUP(N182,prices!$A:$A,prices!$F:$F,"no match")</f>
        <v>170.57</v>
      </c>
      <c r="P182">
        <f t="shared" si="31"/>
        <v>1143225.6551562408</v>
      </c>
      <c r="Q182">
        <f>IF(P182="","",P182*assumptions!$B$4)</f>
        <v>880500967.34478521</v>
      </c>
      <c r="R182" s="10">
        <f t="shared" ca="1" si="32"/>
        <v>11.441478439425051</v>
      </c>
      <c r="S182">
        <f ca="1">IF(E182="","",E182*1000000*(1+assumptions!$B$3)^R182)</f>
        <v>303760775.51969498</v>
      </c>
      <c r="T182">
        <f t="shared" si="33"/>
        <v>1</v>
      </c>
      <c r="U182">
        <f t="shared" si="37"/>
        <v>28</v>
      </c>
      <c r="V182">
        <f t="shared" si="38"/>
        <v>348.21428571428572</v>
      </c>
      <c r="W182">
        <f t="shared" si="34"/>
        <v>5139694.2540853983</v>
      </c>
      <c r="X182">
        <f t="shared" si="35"/>
        <v>572459146.02003169</v>
      </c>
    </row>
    <row r="183" spans="1:24" x14ac:dyDescent="0.2">
      <c r="A183" t="s">
        <v>17</v>
      </c>
      <c r="B183">
        <v>2015</v>
      </c>
      <c r="C183" t="s">
        <v>9</v>
      </c>
      <c r="D183" s="1">
        <v>42185</v>
      </c>
      <c r="E183" s="14">
        <v>250</v>
      </c>
      <c r="F183" t="s">
        <v>8</v>
      </c>
      <c r="G183" t="str">
        <f t="shared" si="36"/>
        <v/>
      </c>
      <c r="H183" t="str">
        <f t="shared" si="26"/>
        <v>UAL-2015-Q2</v>
      </c>
      <c r="I183" s="3">
        <f>_xlfn.XLOOKUP(H183,prices!A:A,prices!F:F,"no match")</f>
        <v>57.89</v>
      </c>
      <c r="J183">
        <f>_xlfn.XLOOKUP(A183,current!$A:$A,current!$B:$B,"no match")</f>
        <v>111.38</v>
      </c>
      <c r="K183">
        <f t="shared" si="27"/>
        <v>4318535.1528761443</v>
      </c>
      <c r="L183">
        <f t="shared" si="28"/>
        <v>480998445.32734495</v>
      </c>
      <c r="M183">
        <f t="shared" si="29"/>
        <v>10546250</v>
      </c>
      <c r="N183" t="str">
        <f t="shared" si="30"/>
        <v>SPY-2015-Q2</v>
      </c>
      <c r="O183">
        <f>_xlfn.XLOOKUP(N183,prices!$A:$A,prices!$F:$F,"no match")</f>
        <v>174.56</v>
      </c>
      <c r="P183">
        <f t="shared" si="31"/>
        <v>1432172.3189734188</v>
      </c>
      <c r="Q183">
        <f>IF(P183="","",P183*assumptions!$B$4)</f>
        <v>1103044798.3501375</v>
      </c>
      <c r="R183" s="10">
        <f t="shared" ca="1" si="32"/>
        <v>11.19233401779603</v>
      </c>
      <c r="S183">
        <f ca="1">IF(E183="","",E183*1000000*(1+assumptions!$B$3)^R183)</f>
        <v>385696201.24090612</v>
      </c>
      <c r="T183">
        <f t="shared" si="33"/>
        <v>1</v>
      </c>
      <c r="U183">
        <f t="shared" si="37"/>
        <v>28</v>
      </c>
      <c r="V183">
        <f t="shared" si="38"/>
        <v>348.21428571428572</v>
      </c>
      <c r="W183">
        <f t="shared" si="34"/>
        <v>6015102.5343632018</v>
      </c>
      <c r="X183">
        <f t="shared" si="35"/>
        <v>669962120.27737343</v>
      </c>
    </row>
    <row r="184" spans="1:24" x14ac:dyDescent="0.2">
      <c r="A184" t="s">
        <v>17</v>
      </c>
      <c r="B184">
        <v>2015</v>
      </c>
      <c r="C184" t="s">
        <v>10</v>
      </c>
      <c r="D184" s="1">
        <v>42277</v>
      </c>
      <c r="E184" s="14">
        <v>265</v>
      </c>
      <c r="F184" t="s">
        <v>8</v>
      </c>
      <c r="G184" t="str">
        <f t="shared" si="36"/>
        <v/>
      </c>
      <c r="H184" t="str">
        <f t="shared" si="26"/>
        <v>UAL-2015-Q3</v>
      </c>
      <c r="I184" s="3">
        <f>_xlfn.XLOOKUP(H184,prices!A:A,prices!F:F,"no match")</f>
        <v>56.42</v>
      </c>
      <c r="J184">
        <f>_xlfn.XLOOKUP(A184,current!$A:$A,current!$B:$B,"no match")</f>
        <v>111.38</v>
      </c>
      <c r="K184">
        <f t="shared" si="27"/>
        <v>4696915.9872385673</v>
      </c>
      <c r="L184">
        <f t="shared" si="28"/>
        <v>523142502.65863162</v>
      </c>
      <c r="M184">
        <f t="shared" si="29"/>
        <v>11203405</v>
      </c>
      <c r="N184" t="str">
        <f t="shared" si="30"/>
        <v>SPY-2015-Q3</v>
      </c>
      <c r="O184">
        <f>_xlfn.XLOOKUP(N184,prices!$A:$A,prices!$F:$F,"no match")</f>
        <v>169.23</v>
      </c>
      <c r="P184">
        <f t="shared" si="31"/>
        <v>1565916.2087100397</v>
      </c>
      <c r="Q184">
        <f>IF(P184="","",P184*assumptions!$B$4)</f>
        <v>1206053004.7863855</v>
      </c>
      <c r="R184" s="10">
        <f t="shared" ca="1" si="32"/>
        <v>10.940451745379876</v>
      </c>
      <c r="S184">
        <f ca="1">IF(E184="","",E184*1000000*(1+assumptions!$B$3)^R184)</f>
        <v>404867983.90477562</v>
      </c>
      <c r="T184">
        <f t="shared" si="33"/>
        <v>1</v>
      </c>
      <c r="U184">
        <f t="shared" si="37"/>
        <v>28</v>
      </c>
      <c r="V184">
        <f t="shared" si="38"/>
        <v>348.21428571428572</v>
      </c>
      <c r="W184">
        <f t="shared" si="34"/>
        <v>6171823.5681369323</v>
      </c>
      <c r="X184">
        <f t="shared" si="35"/>
        <v>687417709.01909149</v>
      </c>
    </row>
    <row r="185" spans="1:24" x14ac:dyDescent="0.2">
      <c r="A185" t="s">
        <v>17</v>
      </c>
      <c r="B185">
        <v>2015</v>
      </c>
      <c r="C185" t="s">
        <v>11</v>
      </c>
      <c r="D185" s="1">
        <v>42369</v>
      </c>
      <c r="E185" s="14">
        <v>523</v>
      </c>
      <c r="F185" t="s">
        <v>8</v>
      </c>
      <c r="G185" t="str">
        <f t="shared" si="36"/>
        <v/>
      </c>
      <c r="H185" t="str">
        <f t="shared" si="26"/>
        <v>UAL-2015-Q4</v>
      </c>
      <c r="I185" s="3">
        <f>_xlfn.XLOOKUP(H185,prices!A:A,prices!F:F,"no match")</f>
        <v>57.74</v>
      </c>
      <c r="J185">
        <f>_xlfn.XLOOKUP(A185,current!$A:$A,current!$B:$B,"no match")</f>
        <v>111.38</v>
      </c>
      <c r="K185">
        <f t="shared" si="27"/>
        <v>9057845.5143747833</v>
      </c>
      <c r="L185">
        <f t="shared" si="28"/>
        <v>1008862833.3910633</v>
      </c>
      <c r="M185">
        <f t="shared" si="29"/>
        <v>22158987</v>
      </c>
      <c r="N185" t="str">
        <f t="shared" si="30"/>
        <v>SPY-2015-Q4</v>
      </c>
      <c r="O185">
        <f>_xlfn.XLOOKUP(N185,prices!$A:$A,prices!$F:$F,"no match")</f>
        <v>172.25</v>
      </c>
      <c r="P185">
        <f t="shared" si="31"/>
        <v>3036284.4702467346</v>
      </c>
      <c r="Q185">
        <f>IF(P185="","",P185*assumptions!$B$4)</f>
        <v>2338515936.1393328</v>
      </c>
      <c r="R185" s="10">
        <f t="shared" ca="1" si="32"/>
        <v>10.688569472963723</v>
      </c>
      <c r="S185">
        <f ca="1">IF(E185="","",E185*1000000*(1+assumptions!$B$3)^R185)</f>
        <v>791282312.88225865</v>
      </c>
      <c r="T185">
        <f t="shared" si="33"/>
        <v>1</v>
      </c>
      <c r="U185">
        <f t="shared" si="37"/>
        <v>28</v>
      </c>
      <c r="V185">
        <f t="shared" si="38"/>
        <v>348.21428571428572</v>
      </c>
      <c r="W185">
        <f t="shared" si="34"/>
        <v>6030728.8831708645</v>
      </c>
      <c r="X185">
        <f t="shared" si="35"/>
        <v>671702583.00757086</v>
      </c>
    </row>
    <row r="186" spans="1:24" x14ac:dyDescent="0.2">
      <c r="A186" t="s">
        <v>17</v>
      </c>
      <c r="B186">
        <v>2016</v>
      </c>
      <c r="C186" t="s">
        <v>7</v>
      </c>
      <c r="D186" s="1">
        <v>42460</v>
      </c>
      <c r="E186" s="14">
        <v>1392</v>
      </c>
      <c r="F186" t="s">
        <v>8</v>
      </c>
      <c r="G186" t="str">
        <f t="shared" si="36"/>
        <v/>
      </c>
      <c r="H186" t="str">
        <f t="shared" si="26"/>
        <v>UAL-2016-Q1</v>
      </c>
      <c r="I186" s="3">
        <f>_xlfn.XLOOKUP(H186,prices!A:A,prices!F:F,"no match")</f>
        <v>53.1</v>
      </c>
      <c r="J186">
        <f>_xlfn.XLOOKUP(A186,current!$A:$A,current!$B:$B,"no match")</f>
        <v>111.38</v>
      </c>
      <c r="K186">
        <f t="shared" si="27"/>
        <v>26214689.265536722</v>
      </c>
      <c r="L186">
        <f t="shared" si="28"/>
        <v>2919792090.3954802</v>
      </c>
      <c r="M186">
        <f t="shared" si="29"/>
        <v>59104320</v>
      </c>
      <c r="N186" t="str">
        <f t="shared" si="30"/>
        <v>SPY-2016-Q1</v>
      </c>
      <c r="O186">
        <f>_xlfn.XLOOKUP(N186,prices!$A:$A,prices!$F:$F,"no match")</f>
        <v>164.64</v>
      </c>
      <c r="P186">
        <f t="shared" si="31"/>
        <v>8454810.4956268221</v>
      </c>
      <c r="Q186">
        <f>IF(P186="","",P186*assumptions!$B$4)</f>
        <v>6511810495.6268225</v>
      </c>
      <c r="R186" s="10">
        <f t="shared" ca="1" si="32"/>
        <v>10.439425051334702</v>
      </c>
      <c r="S186">
        <f ca="1">IF(E186="","",E186*1000000*(1+assumptions!$B$3)^R186)</f>
        <v>2085822154.2608571</v>
      </c>
      <c r="T186">
        <f t="shared" si="33"/>
        <v>1</v>
      </c>
      <c r="U186">
        <f t="shared" si="37"/>
        <v>28</v>
      </c>
      <c r="V186">
        <f t="shared" si="38"/>
        <v>348.21428571428572</v>
      </c>
      <c r="W186">
        <f t="shared" si="34"/>
        <v>6557707.8288942697</v>
      </c>
      <c r="X186">
        <f t="shared" si="35"/>
        <v>730397497.98224378</v>
      </c>
    </row>
    <row r="187" spans="1:24" x14ac:dyDescent="0.2">
      <c r="A187" t="s">
        <v>17</v>
      </c>
      <c r="B187">
        <v>2016</v>
      </c>
      <c r="C187" t="s">
        <v>9</v>
      </c>
      <c r="D187" s="1">
        <v>42551</v>
      </c>
      <c r="E187" s="14">
        <v>790</v>
      </c>
      <c r="F187" t="s">
        <v>8</v>
      </c>
      <c r="G187" t="str">
        <f t="shared" si="36"/>
        <v/>
      </c>
      <c r="H187" t="str">
        <f t="shared" si="26"/>
        <v>UAL-2016-Q2</v>
      </c>
      <c r="I187" s="3">
        <f>_xlfn.XLOOKUP(H187,prices!A:A,prices!F:F,"no match")</f>
        <v>47.32</v>
      </c>
      <c r="J187">
        <f>_xlfn.XLOOKUP(A187,current!$A:$A,current!$B:$B,"no match")</f>
        <v>111.38</v>
      </c>
      <c r="K187">
        <f t="shared" si="27"/>
        <v>16694843.61792054</v>
      </c>
      <c r="L187">
        <f t="shared" si="28"/>
        <v>1859471682.1639898</v>
      </c>
      <c r="M187">
        <f t="shared" si="29"/>
        <v>33615290</v>
      </c>
      <c r="N187" t="str">
        <f t="shared" si="30"/>
        <v>SPY-2016-Q2</v>
      </c>
      <c r="O187">
        <f>_xlfn.XLOOKUP(N187,prices!$A:$A,prices!$F:$F,"no match")</f>
        <v>175.97</v>
      </c>
      <c r="P187">
        <f t="shared" si="31"/>
        <v>4489401.6025458882</v>
      </c>
      <c r="Q187">
        <f>IF(P187="","",P187*assumptions!$B$4)</f>
        <v>3457692220.2648177</v>
      </c>
      <c r="R187" s="10">
        <f t="shared" ca="1" si="32"/>
        <v>10.190280629705681</v>
      </c>
      <c r="S187">
        <f ca="1">IF(E187="","",E187*1000000*(1+assumptions!$B$3)^R187)</f>
        <v>1172393503.4099338</v>
      </c>
      <c r="T187">
        <f t="shared" si="33"/>
        <v>1</v>
      </c>
      <c r="U187">
        <f t="shared" si="37"/>
        <v>28</v>
      </c>
      <c r="V187">
        <f t="shared" si="38"/>
        <v>348.21428571428572</v>
      </c>
      <c r="W187">
        <f t="shared" si="34"/>
        <v>7358712.7158555733</v>
      </c>
      <c r="X187">
        <f t="shared" si="35"/>
        <v>819613422.29199374</v>
      </c>
    </row>
    <row r="188" spans="1:24" x14ac:dyDescent="0.2">
      <c r="A188" t="s">
        <v>17</v>
      </c>
      <c r="B188">
        <v>2016</v>
      </c>
      <c r="C188" t="s">
        <v>10</v>
      </c>
      <c r="D188" s="1">
        <v>42643</v>
      </c>
      <c r="E188" s="14">
        <v>260</v>
      </c>
      <c r="F188" t="s">
        <v>8</v>
      </c>
      <c r="G188" t="str">
        <f t="shared" si="36"/>
        <v/>
      </c>
      <c r="H188" t="str">
        <f t="shared" si="26"/>
        <v>UAL-2016-Q3</v>
      </c>
      <c r="I188" s="3">
        <f>_xlfn.XLOOKUP(H188,prices!A:A,prices!F:F,"no match")</f>
        <v>48.11</v>
      </c>
      <c r="J188">
        <f>_xlfn.XLOOKUP(A188,current!$A:$A,current!$B:$B,"no match")</f>
        <v>111.38</v>
      </c>
      <c r="K188">
        <f t="shared" si="27"/>
        <v>5404281.8540843902</v>
      </c>
      <c r="L188">
        <f t="shared" si="28"/>
        <v>601928912.90791941</v>
      </c>
      <c r="M188">
        <f t="shared" si="29"/>
        <v>11087180</v>
      </c>
      <c r="N188" t="str">
        <f t="shared" si="30"/>
        <v>SPY-2016-Q3</v>
      </c>
      <c r="O188">
        <f>_xlfn.XLOOKUP(N188,prices!$A:$A,prices!$F:$F,"no match")</f>
        <v>184.28</v>
      </c>
      <c r="P188">
        <f t="shared" si="31"/>
        <v>1410896.4619057956</v>
      </c>
      <c r="Q188">
        <f>IF(P188="","",P188*assumptions!$B$4)</f>
        <v>1086658345.9952247</v>
      </c>
      <c r="R188" s="10">
        <f t="shared" ca="1" si="32"/>
        <v>9.9383983572895271</v>
      </c>
      <c r="S188">
        <f ca="1">IF(E188="","",E188*1000000*(1+assumptions!$B$3)^R188)</f>
        <v>382104249.99179107</v>
      </c>
      <c r="T188">
        <f t="shared" si="33"/>
        <v>1</v>
      </c>
      <c r="U188">
        <f t="shared" si="37"/>
        <v>28</v>
      </c>
      <c r="V188">
        <f t="shared" si="38"/>
        <v>348.21428571428572</v>
      </c>
      <c r="W188">
        <f t="shared" si="34"/>
        <v>7237877.4831487369</v>
      </c>
      <c r="X188">
        <f t="shared" si="35"/>
        <v>806154794.07310629</v>
      </c>
    </row>
    <row r="189" spans="1:24" x14ac:dyDescent="0.2">
      <c r="A189" t="s">
        <v>17</v>
      </c>
      <c r="B189">
        <v>2016</v>
      </c>
      <c r="C189" t="s">
        <v>11</v>
      </c>
      <c r="D189" s="1">
        <v>42735</v>
      </c>
      <c r="E189" s="14">
        <v>172</v>
      </c>
      <c r="F189" t="s">
        <v>8</v>
      </c>
      <c r="G189" t="str">
        <f t="shared" si="36"/>
        <v/>
      </c>
      <c r="H189" t="str">
        <f t="shared" si="26"/>
        <v>UAL-2016-Q4</v>
      </c>
      <c r="I189" s="3">
        <f>_xlfn.XLOOKUP(H189,prices!A:A,prices!F:F,"no match")</f>
        <v>63.72</v>
      </c>
      <c r="J189">
        <f>_xlfn.XLOOKUP(A189,current!$A:$A,current!$B:$B,"no match")</f>
        <v>111.38</v>
      </c>
      <c r="K189">
        <f t="shared" si="27"/>
        <v>2699309.478970496</v>
      </c>
      <c r="L189">
        <f t="shared" si="28"/>
        <v>300649089.76773381</v>
      </c>
      <c r="M189">
        <f t="shared" si="29"/>
        <v>7350420</v>
      </c>
      <c r="N189" t="str">
        <f t="shared" si="30"/>
        <v>SPY-2016-Q4</v>
      </c>
      <c r="O189">
        <f>_xlfn.XLOOKUP(N189,prices!$A:$A,prices!$F:$F,"no match")</f>
        <v>187.21</v>
      </c>
      <c r="P189">
        <f t="shared" si="31"/>
        <v>918754.34004593769</v>
      </c>
      <c r="Q189">
        <f>IF(P189="","",P189*assumptions!$B$4)</f>
        <v>707615405.15998077</v>
      </c>
      <c r="R189" s="10">
        <f t="shared" ca="1" si="32"/>
        <v>9.6865160848733751</v>
      </c>
      <c r="S189">
        <f ca="1">IF(E189="","",E189*1000000*(1+assumptions!$B$3)^R189)</f>
        <v>250322089.57002109</v>
      </c>
      <c r="T189">
        <f t="shared" si="33"/>
        <v>1</v>
      </c>
      <c r="U189">
        <f t="shared" si="37"/>
        <v>28</v>
      </c>
      <c r="V189">
        <f t="shared" si="38"/>
        <v>348.21428571428572</v>
      </c>
      <c r="W189">
        <f t="shared" si="34"/>
        <v>5464756.5240785582</v>
      </c>
      <c r="X189">
        <f t="shared" si="35"/>
        <v>608664581.65186977</v>
      </c>
    </row>
    <row r="190" spans="1:24" hidden="1" x14ac:dyDescent="0.2">
      <c r="A190" t="s">
        <v>17</v>
      </c>
      <c r="B190">
        <v>2017</v>
      </c>
      <c r="C190" t="s">
        <v>7</v>
      </c>
      <c r="D190" s="1">
        <v>42825</v>
      </c>
      <c r="E190" s="14">
        <v>258</v>
      </c>
      <c r="F190" t="s">
        <v>8</v>
      </c>
      <c r="G190" t="str">
        <f t="shared" si="36"/>
        <v/>
      </c>
      <c r="H190" t="str">
        <f t="shared" ref="H190:H227" si="39">A190&amp;"-"&amp;B190&amp;"-"&amp;C190</f>
        <v>UAL-2017-Q1</v>
      </c>
      <c r="I190" s="3">
        <f>_xlfn.XLOOKUP(H190,prices!A:A,prices!F:F,"no match")</f>
        <v>72.28</v>
      </c>
      <c r="J190">
        <f>_xlfn.XLOOKUP(A190,current!$A:$A,current!$B:$B,"no match")</f>
        <v>111.38</v>
      </c>
      <c r="K190">
        <f t="shared" ref="K190:K227" si="40">IF(E190="","",E190*1000000/I190)</f>
        <v>3569452.1306032096</v>
      </c>
      <c r="L190">
        <f t="shared" ref="L190:L227" si="41">IF(K190="","",K190*J190)</f>
        <v>397565578.30658549</v>
      </c>
      <c r="M190">
        <f t="shared" ref="M190:M227" si="42">IF(E190="","",E190*D190)</f>
        <v>11048850</v>
      </c>
      <c r="N190" t="str">
        <f t="shared" ref="N190:N227" si="43">"SPY-"&amp;B190&amp;"-"&amp;C190</f>
        <v>SPY-2017-Q1</v>
      </c>
      <c r="O190">
        <f>_xlfn.XLOOKUP(N190,prices!$A:$A,prices!$F:$F,"no match")</f>
        <v>200.26</v>
      </c>
      <c r="P190">
        <f t="shared" ref="P190:P227" si="44">IF(E190="","",E190*1000000/O190)</f>
        <v>1288325.1772695496</v>
      </c>
      <c r="Q190">
        <f>IF(P190="","",P190*assumptions!$B$4)</f>
        <v>992255168.2812345</v>
      </c>
      <c r="R190" s="10">
        <f t="shared" ref="R190:R227" ca="1" si="45">IF(E190="","",(TODAY()-D190)/365.25)</f>
        <v>9.4401095140314855</v>
      </c>
      <c r="S190">
        <f ca="1">IF(E190="","",E190*1000000*(1+assumptions!$B$3)^R190)</f>
        <v>371915919.83550918</v>
      </c>
      <c r="T190">
        <f t="shared" ref="T190:T227" si="46">IF(E190="",0,IF(E190&gt;0,1,0))</f>
        <v>1</v>
      </c>
      <c r="U190">
        <f t="shared" si="37"/>
        <v>28</v>
      </c>
      <c r="V190">
        <f t="shared" si="38"/>
        <v>348.21428571428572</v>
      </c>
      <c r="W190">
        <f t="shared" ref="W190:W227" si="47">IF(V190=0,0,V190*1000000/I190)</f>
        <v>4817574.5118191158</v>
      </c>
      <c r="X190">
        <f t="shared" ref="X190:X227" si="48">IF(W190=0,0,W190*J190)</f>
        <v>536581449.12641311</v>
      </c>
    </row>
    <row r="191" spans="1:24" hidden="1" x14ac:dyDescent="0.2">
      <c r="A191" t="s">
        <v>17</v>
      </c>
      <c r="B191">
        <v>2017</v>
      </c>
      <c r="C191" t="s">
        <v>9</v>
      </c>
      <c r="D191" s="1">
        <v>42916</v>
      </c>
      <c r="E191" s="14">
        <v>454</v>
      </c>
      <c r="F191" t="s">
        <v>8</v>
      </c>
      <c r="G191" t="str">
        <f t="shared" ref="G191:G227" si="49">IF(F191&lt;&gt;"missing","",IF(D191&gt;DATE(2026,6,30),"not yet filed","no repurchases reported"))</f>
        <v/>
      </c>
      <c r="H191" t="str">
        <f t="shared" si="39"/>
        <v>UAL-2017-Q2</v>
      </c>
      <c r="I191" s="3">
        <f>_xlfn.XLOOKUP(H191,prices!A:A,prices!F:F,"no match")</f>
        <v>75.5</v>
      </c>
      <c r="J191">
        <f>_xlfn.XLOOKUP(A191,current!$A:$A,current!$B:$B,"no match")</f>
        <v>111.38</v>
      </c>
      <c r="K191">
        <f t="shared" si="40"/>
        <v>6013245.0331125828</v>
      </c>
      <c r="L191">
        <f t="shared" si="41"/>
        <v>669755231.78807938</v>
      </c>
      <c r="M191">
        <f t="shared" si="42"/>
        <v>19483864</v>
      </c>
      <c r="N191" t="str">
        <f t="shared" si="43"/>
        <v>SPY-2017-Q2</v>
      </c>
      <c r="O191">
        <f>_xlfn.XLOOKUP(N191,prices!$A:$A,prices!$F:$F,"no match")</f>
        <v>207.45</v>
      </c>
      <c r="P191">
        <f t="shared" si="44"/>
        <v>2188479.1516027958</v>
      </c>
      <c r="Q191">
        <f>IF(P191="","",P191*assumptions!$B$4)</f>
        <v>1685544757.7729573</v>
      </c>
      <c r="R191" s="10">
        <f t="shared" ca="1" si="45"/>
        <v>9.1909650924024646</v>
      </c>
      <c r="S191">
        <f ca="1">IF(E191="","",E191*1000000*(1+assumptions!$B$3)^R191)</f>
        <v>648170389.00197005</v>
      </c>
      <c r="T191">
        <f t="shared" si="46"/>
        <v>1</v>
      </c>
      <c r="U191">
        <f t="shared" si="37"/>
        <v>28</v>
      </c>
      <c r="V191">
        <f t="shared" si="38"/>
        <v>348.21428571428572</v>
      </c>
      <c r="W191">
        <f t="shared" si="47"/>
        <v>4612109.7445600759</v>
      </c>
      <c r="X191">
        <f t="shared" si="48"/>
        <v>513696783.34910125</v>
      </c>
    </row>
    <row r="192" spans="1:24" hidden="1" x14ac:dyDescent="0.2">
      <c r="A192" t="s">
        <v>17</v>
      </c>
      <c r="B192">
        <v>2017</v>
      </c>
      <c r="C192" t="s">
        <v>10</v>
      </c>
      <c r="D192" s="1">
        <v>43008</v>
      </c>
      <c r="E192" s="14">
        <v>579</v>
      </c>
      <c r="F192" t="s">
        <v>8</v>
      </c>
      <c r="G192" t="str">
        <f t="shared" si="49"/>
        <v/>
      </c>
      <c r="H192" t="str">
        <f t="shared" si="39"/>
        <v>UAL-2017-Q3</v>
      </c>
      <c r="I192" s="3">
        <f>_xlfn.XLOOKUP(H192,prices!A:A,prices!F:F,"no match")</f>
        <v>66.62</v>
      </c>
      <c r="J192">
        <f>_xlfn.XLOOKUP(A192,current!$A:$A,current!$B:$B,"no match")</f>
        <v>111.38</v>
      </c>
      <c r="K192">
        <f t="shared" si="40"/>
        <v>8691083.7586310413</v>
      </c>
      <c r="L192">
        <f t="shared" si="41"/>
        <v>968012909.03632534</v>
      </c>
      <c r="M192">
        <f t="shared" si="42"/>
        <v>24901632</v>
      </c>
      <c r="N192" t="str">
        <f t="shared" si="43"/>
        <v>SPY-2017-Q3</v>
      </c>
      <c r="O192">
        <f>_xlfn.XLOOKUP(N192,prices!$A:$A,prices!$F:$F,"no match")</f>
        <v>214.46</v>
      </c>
      <c r="P192">
        <f t="shared" si="44"/>
        <v>2699804.1592837824</v>
      </c>
      <c r="Q192">
        <f>IF(P192="","",P192*assumptions!$B$4)</f>
        <v>2079362165.4387765</v>
      </c>
      <c r="R192" s="10">
        <f t="shared" ca="1" si="45"/>
        <v>8.9390828199863108</v>
      </c>
      <c r="S192">
        <f ca="1">IF(E192="","",E192*1000000*(1+assumptions!$B$3)^R192)</f>
        <v>818604459.14151192</v>
      </c>
      <c r="T192">
        <f t="shared" si="46"/>
        <v>1</v>
      </c>
      <c r="U192">
        <f t="shared" si="37"/>
        <v>28</v>
      </c>
      <c r="V192">
        <f t="shared" si="38"/>
        <v>348.21428571428572</v>
      </c>
      <c r="W192">
        <f t="shared" si="47"/>
        <v>5226873.096882103</v>
      </c>
      <c r="X192">
        <f t="shared" si="48"/>
        <v>582169125.53072858</v>
      </c>
    </row>
    <row r="193" spans="1:24" hidden="1" x14ac:dyDescent="0.2">
      <c r="A193" t="s">
        <v>17</v>
      </c>
      <c r="B193">
        <v>2017</v>
      </c>
      <c r="C193" t="s">
        <v>11</v>
      </c>
      <c r="D193" s="1">
        <v>43100</v>
      </c>
      <c r="E193" s="14">
        <v>553</v>
      </c>
      <c r="F193" t="s">
        <v>8</v>
      </c>
      <c r="G193" t="str">
        <f t="shared" si="49"/>
        <v/>
      </c>
      <c r="H193" t="str">
        <f t="shared" si="39"/>
        <v>UAL-2017-Q4</v>
      </c>
      <c r="I193" s="3">
        <f>_xlfn.XLOOKUP(H193,prices!A:A,prices!F:F,"no match")</f>
        <v>62.33</v>
      </c>
      <c r="J193">
        <f>_xlfn.XLOOKUP(A193,current!$A:$A,current!$B:$B,"no match")</f>
        <v>111.38</v>
      </c>
      <c r="K193">
        <f t="shared" si="40"/>
        <v>8872132.1995828655</v>
      </c>
      <c r="L193">
        <f t="shared" si="41"/>
        <v>988178084.38953948</v>
      </c>
      <c r="M193">
        <f t="shared" si="42"/>
        <v>23834300</v>
      </c>
      <c r="N193" t="str">
        <f t="shared" si="43"/>
        <v>SPY-2017-Q4</v>
      </c>
      <c r="O193">
        <f>_xlfn.XLOOKUP(N193,prices!$A:$A,prices!$F:$F,"no match")</f>
        <v>227.33</v>
      </c>
      <c r="P193">
        <f t="shared" si="44"/>
        <v>2432586.988079004</v>
      </c>
      <c r="Q193">
        <f>IF(P193="","",P193*assumptions!$B$4)</f>
        <v>1873554172.3485682</v>
      </c>
      <c r="R193" s="10">
        <f t="shared" ca="1" si="45"/>
        <v>8.687200547570157</v>
      </c>
      <c r="S193">
        <f ca="1">IF(E193="","",E193*1000000*(1+assumptions!$B$3)^R193)</f>
        <v>774252973.45704937</v>
      </c>
      <c r="T193">
        <f t="shared" si="46"/>
        <v>1</v>
      </c>
      <c r="U193">
        <f t="shared" si="37"/>
        <v>28</v>
      </c>
      <c r="V193">
        <f t="shared" si="38"/>
        <v>348.21428571428572</v>
      </c>
      <c r="W193">
        <f t="shared" si="47"/>
        <v>5586624.1892232588</v>
      </c>
      <c r="X193">
        <f t="shared" si="48"/>
        <v>622238202.19568658</v>
      </c>
    </row>
    <row r="194" spans="1:24" x14ac:dyDescent="0.2">
      <c r="A194" t="s">
        <v>17</v>
      </c>
      <c r="B194">
        <v>2018</v>
      </c>
      <c r="C194" t="s">
        <v>7</v>
      </c>
      <c r="D194" s="1">
        <v>43190</v>
      </c>
      <c r="E194" s="14">
        <v>529</v>
      </c>
      <c r="F194" t="s">
        <v>8</v>
      </c>
      <c r="G194" t="str">
        <f t="shared" si="49"/>
        <v/>
      </c>
      <c r="H194" t="str">
        <f t="shared" si="39"/>
        <v>UAL-2018-Q1</v>
      </c>
      <c r="I194" s="3">
        <f>_xlfn.XLOOKUP(H194,prices!A:A,prices!F:F,"no match")</f>
        <v>69.09</v>
      </c>
      <c r="J194">
        <f>_xlfn.XLOOKUP(A194,current!$A:$A,current!$B:$B,"no match")</f>
        <v>111.38</v>
      </c>
      <c r="K194">
        <f t="shared" si="40"/>
        <v>7656679.6931538573</v>
      </c>
      <c r="L194">
        <f t="shared" si="41"/>
        <v>852800984.22347653</v>
      </c>
      <c r="M194">
        <f t="shared" si="42"/>
        <v>22847510</v>
      </c>
      <c r="N194" t="str">
        <f t="shared" si="43"/>
        <v>SPY-2018-Q1</v>
      </c>
      <c r="O194">
        <f>_xlfn.XLOOKUP(N194,prices!$A:$A,prices!$F:$F,"no match")</f>
        <v>239.76</v>
      </c>
      <c r="P194">
        <f t="shared" si="44"/>
        <v>2206373.0397063731</v>
      </c>
      <c r="Q194">
        <f>IF(P194="","",P194*assumptions!$B$4)</f>
        <v>1699326451.4514515</v>
      </c>
      <c r="R194" s="10">
        <f t="shared" ca="1" si="45"/>
        <v>8.4407939767282691</v>
      </c>
      <c r="S194">
        <f ca="1">IF(E194="","",E194*1000000*(1+assumptions!$B$3)^R194)</f>
        <v>733614246.96185565</v>
      </c>
      <c r="T194">
        <f t="shared" si="46"/>
        <v>1</v>
      </c>
      <c r="U194">
        <f t="shared" ref="U194:U257" si="50">SUMIFS($T:$T,$A:$A,$A194)</f>
        <v>28</v>
      </c>
      <c r="V194">
        <f t="shared" ref="V194:V257" si="51">IF(T194=0,0,SUMIFS($E:$E,$A:$A,$A194)/U194)</f>
        <v>348.21428571428572</v>
      </c>
      <c r="W194">
        <f t="shared" si="47"/>
        <v>5040009.924942621</v>
      </c>
      <c r="X194">
        <f t="shared" si="48"/>
        <v>561356305.44010913</v>
      </c>
    </row>
    <row r="195" spans="1:24" x14ac:dyDescent="0.2">
      <c r="A195" t="s">
        <v>17</v>
      </c>
      <c r="B195">
        <v>2018</v>
      </c>
      <c r="C195" t="s">
        <v>9</v>
      </c>
      <c r="D195" s="1">
        <v>43281</v>
      </c>
      <c r="E195" s="14">
        <v>440</v>
      </c>
      <c r="F195" t="s">
        <v>8</v>
      </c>
      <c r="G195" t="str">
        <f t="shared" si="49"/>
        <v/>
      </c>
      <c r="H195" t="str">
        <f t="shared" si="39"/>
        <v>UAL-2018-Q2</v>
      </c>
      <c r="I195" s="3">
        <f>_xlfn.XLOOKUP(H195,prices!A:A,prices!F:F,"no match")</f>
        <v>69.489999999999995</v>
      </c>
      <c r="J195">
        <f>_xlfn.XLOOKUP(A195,current!$A:$A,current!$B:$B,"no match")</f>
        <v>111.38</v>
      </c>
      <c r="K195">
        <f t="shared" si="40"/>
        <v>6331846.3088214137</v>
      </c>
      <c r="L195">
        <f t="shared" si="41"/>
        <v>705241041.87652898</v>
      </c>
      <c r="M195">
        <f t="shared" si="42"/>
        <v>19043640</v>
      </c>
      <c r="N195" t="str">
        <f t="shared" si="43"/>
        <v>SPY-2018-Q2</v>
      </c>
      <c r="O195">
        <f>_xlfn.XLOOKUP(N195,prices!$A:$A,prices!$F:$F,"no match")</f>
        <v>238.21</v>
      </c>
      <c r="P195">
        <f t="shared" si="44"/>
        <v>1847109.6931279122</v>
      </c>
      <c r="Q195">
        <f>IF(P195="","",P195*assumptions!$B$4)</f>
        <v>1422625414.5501869</v>
      </c>
      <c r="R195" s="10">
        <f t="shared" ca="1" si="45"/>
        <v>8.1916495550992465</v>
      </c>
      <c r="S195">
        <f ca="1">IF(E195="","",E195*1000000*(1+assumptions!$B$3)^R195)</f>
        <v>604328439.59137118</v>
      </c>
      <c r="T195">
        <f t="shared" si="46"/>
        <v>1</v>
      </c>
      <c r="U195">
        <f t="shared" si="50"/>
        <v>28</v>
      </c>
      <c r="V195">
        <f t="shared" si="51"/>
        <v>348.21428571428572</v>
      </c>
      <c r="W195">
        <f t="shared" si="47"/>
        <v>5010998.4992701933</v>
      </c>
      <c r="X195">
        <f t="shared" si="48"/>
        <v>558125012.84871411</v>
      </c>
    </row>
    <row r="196" spans="1:24" x14ac:dyDescent="0.2">
      <c r="A196" t="s">
        <v>17</v>
      </c>
      <c r="B196">
        <v>2018</v>
      </c>
      <c r="C196" t="s">
        <v>10</v>
      </c>
      <c r="D196" s="1">
        <v>43373</v>
      </c>
      <c r="E196" s="14">
        <v>41</v>
      </c>
      <c r="F196" t="s">
        <v>8</v>
      </c>
      <c r="G196" t="str">
        <f t="shared" si="49"/>
        <v/>
      </c>
      <c r="H196" t="str">
        <f t="shared" si="39"/>
        <v>UAL-2018-Q3</v>
      </c>
      <c r="I196" s="3">
        <f>_xlfn.XLOOKUP(H196,prices!A:A,prices!F:F,"no match")</f>
        <v>82.48</v>
      </c>
      <c r="J196">
        <f>_xlfn.XLOOKUP(A196,current!$A:$A,current!$B:$B,"no match")</f>
        <v>111.38</v>
      </c>
      <c r="K196">
        <f t="shared" si="40"/>
        <v>497090.20368574199</v>
      </c>
      <c r="L196">
        <f t="shared" si="41"/>
        <v>55365906.886517942</v>
      </c>
      <c r="M196">
        <f t="shared" si="42"/>
        <v>1778293</v>
      </c>
      <c r="N196" t="str">
        <f t="shared" si="43"/>
        <v>SPY-2018-Q3</v>
      </c>
      <c r="O196">
        <f>_xlfn.XLOOKUP(N196,prices!$A:$A,prices!$F:$F,"no match")</f>
        <v>252.23</v>
      </c>
      <c r="P196">
        <f t="shared" si="44"/>
        <v>162550.05352257862</v>
      </c>
      <c r="Q196">
        <f>IF(P196="","",P196*assumptions!$B$4)</f>
        <v>125194425.72255483</v>
      </c>
      <c r="R196" s="10">
        <f t="shared" ca="1" si="45"/>
        <v>7.9397672826830936</v>
      </c>
      <c r="S196">
        <f ca="1">IF(E196="","",E196*1000000*(1+assumptions!$B$3)^R196)</f>
        <v>55765605.369020395</v>
      </c>
      <c r="T196">
        <f t="shared" si="46"/>
        <v>1</v>
      </c>
      <c r="U196">
        <f t="shared" si="50"/>
        <v>28</v>
      </c>
      <c r="V196">
        <f t="shared" si="51"/>
        <v>348.21428571428572</v>
      </c>
      <c r="W196">
        <f t="shared" si="47"/>
        <v>4221802.6880975477</v>
      </c>
      <c r="X196">
        <f t="shared" si="48"/>
        <v>470224383.40030485</v>
      </c>
    </row>
    <row r="197" spans="1:24" x14ac:dyDescent="0.2">
      <c r="A197" t="s">
        <v>17</v>
      </c>
      <c r="B197">
        <v>2018</v>
      </c>
      <c r="C197" t="s">
        <v>11</v>
      </c>
      <c r="D197" s="1">
        <v>43465</v>
      </c>
      <c r="E197" s="14">
        <v>225</v>
      </c>
      <c r="F197" t="s">
        <v>8</v>
      </c>
      <c r="G197" t="str">
        <f t="shared" si="49"/>
        <v/>
      </c>
      <c r="H197" t="str">
        <f t="shared" si="39"/>
        <v>UAL-2018-Q4</v>
      </c>
      <c r="I197" s="3">
        <f>_xlfn.XLOOKUP(H197,prices!A:A,prices!F:F,"no match")</f>
        <v>87.84</v>
      </c>
      <c r="J197">
        <f>_xlfn.XLOOKUP(A197,current!$A:$A,current!$B:$B,"no match")</f>
        <v>111.38</v>
      </c>
      <c r="K197">
        <f t="shared" si="40"/>
        <v>2561475.4098360655</v>
      </c>
      <c r="L197">
        <f t="shared" si="41"/>
        <v>285297131.14754099</v>
      </c>
      <c r="M197">
        <f t="shared" si="42"/>
        <v>9779625</v>
      </c>
      <c r="N197" t="str">
        <f t="shared" si="43"/>
        <v>SPY-2018-Q4</v>
      </c>
      <c r="O197">
        <f>_xlfn.XLOOKUP(N197,prices!$A:$A,prices!$F:$F,"no match")</f>
        <v>239.95</v>
      </c>
      <c r="P197">
        <f t="shared" si="44"/>
        <v>937695.35319858312</v>
      </c>
      <c r="Q197">
        <f>IF(P197="","",P197*assumptions!$B$4)</f>
        <v>722203584.08001673</v>
      </c>
      <c r="R197" s="10">
        <f t="shared" ca="1" si="45"/>
        <v>7.6878850102669407</v>
      </c>
      <c r="S197">
        <f ca="1">IF(E197="","",E197*1000000*(1+assumptions!$B$3)^R197)</f>
        <v>303059073.21568036</v>
      </c>
      <c r="T197">
        <f t="shared" si="46"/>
        <v>1</v>
      </c>
      <c r="U197">
        <f t="shared" si="50"/>
        <v>28</v>
      </c>
      <c r="V197">
        <f t="shared" si="51"/>
        <v>348.21428571428572</v>
      </c>
      <c r="W197">
        <f t="shared" si="47"/>
        <v>3964188.1342701013</v>
      </c>
      <c r="X197">
        <f t="shared" si="48"/>
        <v>441531274.39500386</v>
      </c>
    </row>
    <row r="198" spans="1:24" x14ac:dyDescent="0.2">
      <c r="A198" t="s">
        <v>17</v>
      </c>
      <c r="B198">
        <v>2019</v>
      </c>
      <c r="C198" t="s">
        <v>7</v>
      </c>
      <c r="D198" s="1">
        <v>43555</v>
      </c>
      <c r="E198" s="14">
        <v>513</v>
      </c>
      <c r="F198" t="s">
        <v>8</v>
      </c>
      <c r="G198" t="str">
        <f t="shared" si="49"/>
        <v/>
      </c>
      <c r="H198" t="str">
        <f t="shared" si="39"/>
        <v>UAL-2019-Q1</v>
      </c>
      <c r="I198" s="3">
        <f>_xlfn.XLOOKUP(H198,prices!A:A,prices!F:F,"no match")</f>
        <v>84.4</v>
      </c>
      <c r="J198">
        <f>_xlfn.XLOOKUP(A198,current!$A:$A,current!$B:$B,"no match")</f>
        <v>111.38</v>
      </c>
      <c r="K198">
        <f t="shared" si="40"/>
        <v>6078199.0521327006</v>
      </c>
      <c r="L198">
        <f t="shared" si="41"/>
        <v>676989810.42654014</v>
      </c>
      <c r="M198">
        <f t="shared" si="42"/>
        <v>22343715</v>
      </c>
      <c r="N198" t="str">
        <f t="shared" si="43"/>
        <v>SPY-2019-Q1</v>
      </c>
      <c r="O198">
        <f>_xlfn.XLOOKUP(N198,prices!$A:$A,prices!$F:$F,"no match")</f>
        <v>243.24</v>
      </c>
      <c r="P198">
        <f t="shared" si="44"/>
        <v>2109028.1203749385</v>
      </c>
      <c r="Q198">
        <f>IF(P198="","",P198*assumptions!$B$4)</f>
        <v>1624352368.031574</v>
      </c>
      <c r="R198" s="10">
        <f t="shared" ca="1" si="45"/>
        <v>7.4414784394250511</v>
      </c>
      <c r="S198">
        <f ca="1">IF(E198="","",E198*1000000*(1+assumptions!$B$3)^R198)</f>
        <v>684410197.85002625</v>
      </c>
      <c r="T198">
        <f t="shared" si="46"/>
        <v>1</v>
      </c>
      <c r="U198">
        <f t="shared" si="50"/>
        <v>28</v>
      </c>
      <c r="V198">
        <f t="shared" si="51"/>
        <v>348.21428571428572</v>
      </c>
      <c r="W198">
        <f t="shared" si="47"/>
        <v>4125761.6790792146</v>
      </c>
      <c r="X198">
        <f t="shared" si="48"/>
        <v>459527335.81584293</v>
      </c>
    </row>
    <row r="199" spans="1:24" x14ac:dyDescent="0.2">
      <c r="A199" t="s">
        <v>17</v>
      </c>
      <c r="B199">
        <v>2019</v>
      </c>
      <c r="C199" t="s">
        <v>9</v>
      </c>
      <c r="D199" s="1">
        <v>43646</v>
      </c>
      <c r="E199" s="14">
        <v>549</v>
      </c>
      <c r="F199" t="s">
        <v>8</v>
      </c>
      <c r="G199" t="str">
        <f t="shared" si="49"/>
        <v/>
      </c>
      <c r="H199" t="str">
        <f t="shared" si="39"/>
        <v>UAL-2019-Q2</v>
      </c>
      <c r="I199" s="3">
        <f>_xlfn.XLOOKUP(H199,prices!A:A,prices!F:F,"no match")</f>
        <v>84.63</v>
      </c>
      <c r="J199">
        <f>_xlfn.XLOOKUP(A199,current!$A:$A,current!$B:$B,"no match")</f>
        <v>111.38</v>
      </c>
      <c r="K199">
        <f t="shared" si="40"/>
        <v>6487061.325771004</v>
      </c>
      <c r="L199">
        <f t="shared" si="41"/>
        <v>722528890.46437442</v>
      </c>
      <c r="M199">
        <f t="shared" si="42"/>
        <v>23961654</v>
      </c>
      <c r="N199" t="str">
        <f t="shared" si="43"/>
        <v>SPY-2019-Q2</v>
      </c>
      <c r="O199">
        <f>_xlfn.XLOOKUP(N199,prices!$A:$A,prices!$F:$F,"no match")</f>
        <v>258.86</v>
      </c>
      <c r="P199">
        <f t="shared" si="44"/>
        <v>2120837.5183496871</v>
      </c>
      <c r="Q199">
        <f>IF(P199="","",P199*assumptions!$B$4)</f>
        <v>1633447848.2577457</v>
      </c>
      <c r="R199" s="10">
        <f t="shared" ca="1" si="45"/>
        <v>7.1923340177960302</v>
      </c>
      <c r="S199">
        <f ca="1">IF(E199="","",E199*1000000*(1+assumptions!$B$3)^R199)</f>
        <v>725403626.79215336</v>
      </c>
      <c r="T199">
        <f t="shared" si="46"/>
        <v>1</v>
      </c>
      <c r="U199">
        <f t="shared" si="50"/>
        <v>28</v>
      </c>
      <c r="V199">
        <f t="shared" si="51"/>
        <v>348.21428571428572</v>
      </c>
      <c r="W199">
        <f t="shared" si="47"/>
        <v>4114549.045424622</v>
      </c>
      <c r="X199">
        <f t="shared" si="48"/>
        <v>458278472.67939436</v>
      </c>
    </row>
    <row r="200" spans="1:24" x14ac:dyDescent="0.2">
      <c r="A200" t="s">
        <v>17</v>
      </c>
      <c r="B200">
        <v>2019</v>
      </c>
      <c r="C200" t="s">
        <v>10</v>
      </c>
      <c r="D200" s="1">
        <v>43738</v>
      </c>
      <c r="E200" s="14">
        <v>369</v>
      </c>
      <c r="F200" t="s">
        <v>8</v>
      </c>
      <c r="G200" t="str">
        <f t="shared" si="49"/>
        <v/>
      </c>
      <c r="H200" t="str">
        <f t="shared" si="39"/>
        <v>UAL-2019-Q3</v>
      </c>
      <c r="I200" s="3">
        <f>_xlfn.XLOOKUP(H200,prices!A:A,prices!F:F,"no match")</f>
        <v>88.37</v>
      </c>
      <c r="J200">
        <f>_xlfn.XLOOKUP(A200,current!$A:$A,current!$B:$B,"no match")</f>
        <v>111.38</v>
      </c>
      <c r="K200">
        <f t="shared" si="40"/>
        <v>4175625.2121760775</v>
      </c>
      <c r="L200">
        <f t="shared" si="41"/>
        <v>465081136.13217151</v>
      </c>
      <c r="M200">
        <f t="shared" si="42"/>
        <v>16139322</v>
      </c>
      <c r="N200" t="str">
        <f t="shared" si="43"/>
        <v>SPY-2019-Q3</v>
      </c>
      <c r="O200">
        <f>_xlfn.XLOOKUP(N200,prices!$A:$A,prices!$F:$F,"no match")</f>
        <v>266.92</v>
      </c>
      <c r="P200">
        <f t="shared" si="44"/>
        <v>1382436.6851491083</v>
      </c>
      <c r="Q200">
        <f>IF(P200="","",P200*assumptions!$B$4)</f>
        <v>1064738910.5349917</v>
      </c>
      <c r="R200" s="10">
        <f t="shared" ca="1" si="45"/>
        <v>6.9404517453798764</v>
      </c>
      <c r="S200">
        <f ca="1">IF(E200="","",E200*1000000*(1+assumptions!$B$3)^R200)</f>
        <v>482831896.68914944</v>
      </c>
      <c r="T200">
        <f t="shared" si="46"/>
        <v>1</v>
      </c>
      <c r="U200">
        <f t="shared" si="50"/>
        <v>28</v>
      </c>
      <c r="V200">
        <f t="shared" si="51"/>
        <v>348.21428571428572</v>
      </c>
      <c r="W200">
        <f t="shared" si="47"/>
        <v>3940412.8744402593</v>
      </c>
      <c r="X200">
        <f t="shared" si="48"/>
        <v>438883185.95515609</v>
      </c>
    </row>
    <row r="201" spans="1:24" x14ac:dyDescent="0.2">
      <c r="A201" t="s">
        <v>17</v>
      </c>
      <c r="B201">
        <v>2019</v>
      </c>
      <c r="C201" t="s">
        <v>11</v>
      </c>
      <c r="D201" s="1">
        <v>43830</v>
      </c>
      <c r="E201" s="14">
        <v>214</v>
      </c>
      <c r="F201" t="s">
        <v>8</v>
      </c>
      <c r="G201" t="str">
        <f t="shared" si="49"/>
        <v/>
      </c>
      <c r="H201" t="str">
        <f t="shared" si="39"/>
        <v>UAL-2019-Q4</v>
      </c>
      <c r="I201" s="3">
        <f>_xlfn.XLOOKUP(H201,prices!A:A,prices!F:F,"no match")</f>
        <v>89.75</v>
      </c>
      <c r="J201">
        <f>_xlfn.XLOOKUP(A201,current!$A:$A,current!$B:$B,"no match")</f>
        <v>111.38</v>
      </c>
      <c r="K201">
        <f t="shared" si="40"/>
        <v>2384401.1142061283</v>
      </c>
      <c r="L201">
        <f t="shared" si="41"/>
        <v>265574596.10027856</v>
      </c>
      <c r="M201">
        <f t="shared" si="42"/>
        <v>9379620</v>
      </c>
      <c r="N201" t="str">
        <f t="shared" si="43"/>
        <v>SPY-2019-Q4</v>
      </c>
      <c r="O201">
        <f>_xlfn.XLOOKUP(N201,prices!$A:$A,prices!$F:$F,"no match")</f>
        <v>279.45999999999998</v>
      </c>
      <c r="P201">
        <f t="shared" si="44"/>
        <v>765762.54204537324</v>
      </c>
      <c r="Q201">
        <f>IF(P201="","",P201*assumptions!$B$4)</f>
        <v>589782652.25792611</v>
      </c>
      <c r="R201" s="10">
        <f t="shared" ca="1" si="45"/>
        <v>6.6885694729637235</v>
      </c>
      <c r="S201">
        <f ca="1">IF(E201="","",E201*1000000*(1+assumptions!$B$3)^R201)</f>
        <v>277297253.48518872</v>
      </c>
      <c r="T201">
        <f t="shared" si="46"/>
        <v>1</v>
      </c>
      <c r="U201">
        <f t="shared" si="50"/>
        <v>28</v>
      </c>
      <c r="V201">
        <f t="shared" si="51"/>
        <v>348.21428571428572</v>
      </c>
      <c r="W201">
        <f t="shared" si="47"/>
        <v>3879824.910465579</v>
      </c>
      <c r="X201">
        <f t="shared" si="48"/>
        <v>432134898.5276562</v>
      </c>
    </row>
    <row r="202" spans="1:24" x14ac:dyDescent="0.2">
      <c r="A202" t="s">
        <v>17</v>
      </c>
      <c r="B202">
        <v>2020</v>
      </c>
      <c r="C202" t="s">
        <v>7</v>
      </c>
      <c r="D202" s="1">
        <v>43921</v>
      </c>
      <c r="E202" s="14">
        <v>353</v>
      </c>
      <c r="F202" t="s">
        <v>8</v>
      </c>
      <c r="G202" t="str">
        <f t="shared" si="49"/>
        <v/>
      </c>
      <c r="H202" t="str">
        <f t="shared" si="39"/>
        <v>UAL-2020-Q1</v>
      </c>
      <c r="I202" s="3">
        <f>_xlfn.XLOOKUP(H202,prices!A:A,prices!F:F,"no match")</f>
        <v>66.12</v>
      </c>
      <c r="J202">
        <f>_xlfn.XLOOKUP(A202,current!$A:$A,current!$B:$B,"no match")</f>
        <v>111.38</v>
      </c>
      <c r="K202">
        <f t="shared" si="40"/>
        <v>5338777.9794313367</v>
      </c>
      <c r="L202">
        <f t="shared" si="41"/>
        <v>594633091.3490622</v>
      </c>
      <c r="M202">
        <f t="shared" si="42"/>
        <v>15504113</v>
      </c>
      <c r="N202" t="str">
        <f t="shared" si="43"/>
        <v>SPY-2020-Q1</v>
      </c>
      <c r="O202">
        <f>_xlfn.XLOOKUP(N202,prices!$A:$A,prices!$F:$F,"no match")</f>
        <v>278.20999999999998</v>
      </c>
      <c r="P202">
        <f t="shared" si="44"/>
        <v>1268825.7071995975</v>
      </c>
      <c r="Q202">
        <f>IF(P202="","",P202*assumptions!$B$4)</f>
        <v>977236871.42805803</v>
      </c>
      <c r="R202" s="10">
        <f t="shared" ca="1" si="45"/>
        <v>6.4394250513347027</v>
      </c>
      <c r="S202">
        <f ca="1">IF(E202="","",E202*1000000*(1+assumptions!$B$3)^R202)</f>
        <v>453017283.36339796</v>
      </c>
      <c r="T202">
        <f t="shared" si="46"/>
        <v>1</v>
      </c>
      <c r="U202">
        <f t="shared" si="50"/>
        <v>28</v>
      </c>
      <c r="V202">
        <f t="shared" si="51"/>
        <v>348.21428571428572</v>
      </c>
      <c r="W202">
        <f t="shared" si="47"/>
        <v>5266398.7555094631</v>
      </c>
      <c r="X202">
        <f t="shared" si="48"/>
        <v>586571493.38864398</v>
      </c>
    </row>
    <row r="203" spans="1:24" x14ac:dyDescent="0.2">
      <c r="A203" t="s">
        <v>17</v>
      </c>
      <c r="B203">
        <v>2020</v>
      </c>
      <c r="C203" t="s">
        <v>9</v>
      </c>
      <c r="D203" s="1">
        <v>44012</v>
      </c>
      <c r="E203" s="14">
        <v>0</v>
      </c>
      <c r="F203" t="s">
        <v>8</v>
      </c>
      <c r="G203" t="str">
        <f t="shared" si="49"/>
        <v/>
      </c>
      <c r="H203" t="str">
        <f t="shared" si="39"/>
        <v>UAL-2020-Q2</v>
      </c>
      <c r="I203" s="3">
        <f>_xlfn.XLOOKUP(H203,prices!A:A,prices!F:F,"no match")</f>
        <v>29.99</v>
      </c>
      <c r="J203">
        <f>_xlfn.XLOOKUP(A203,current!$A:$A,current!$B:$B,"no match")</f>
        <v>111.38</v>
      </c>
      <c r="K203">
        <f t="shared" si="40"/>
        <v>0</v>
      </c>
      <c r="L203">
        <f t="shared" si="41"/>
        <v>0</v>
      </c>
      <c r="M203">
        <f t="shared" si="42"/>
        <v>0</v>
      </c>
      <c r="N203" t="str">
        <f t="shared" si="43"/>
        <v>SPY-2020-Q2</v>
      </c>
      <c r="O203">
        <f>_xlfn.XLOOKUP(N203,prices!$A:$A,prices!$F:$F,"no match")</f>
        <v>268.52999999999997</v>
      </c>
      <c r="P203">
        <f t="shared" si="44"/>
        <v>0</v>
      </c>
      <c r="Q203">
        <f>IF(P203="","",P203*assumptions!$B$4)</f>
        <v>0</v>
      </c>
      <c r="R203" s="10">
        <f t="shared" ca="1" si="45"/>
        <v>6.1902806297056809</v>
      </c>
      <c r="S203">
        <f ca="1">IF(E203="","",E203*1000000*(1+assumptions!$B$3)^R203)</f>
        <v>0</v>
      </c>
      <c r="T203">
        <f t="shared" si="46"/>
        <v>0</v>
      </c>
      <c r="U203">
        <f t="shared" si="50"/>
        <v>28</v>
      </c>
      <c r="V203">
        <f t="shared" si="51"/>
        <v>0</v>
      </c>
      <c r="W203">
        <f t="shared" si="47"/>
        <v>0</v>
      </c>
      <c r="X203">
        <f t="shared" si="48"/>
        <v>0</v>
      </c>
    </row>
    <row r="204" spans="1:24" x14ac:dyDescent="0.2">
      <c r="A204" t="s">
        <v>17</v>
      </c>
      <c r="B204">
        <v>2020</v>
      </c>
      <c r="C204" t="s">
        <v>10</v>
      </c>
      <c r="D204" s="1">
        <v>44104</v>
      </c>
      <c r="E204" s="14">
        <v>0</v>
      </c>
      <c r="F204" t="s">
        <v>8</v>
      </c>
      <c r="G204" t="str">
        <f t="shared" si="49"/>
        <v/>
      </c>
      <c r="H204" t="str">
        <f t="shared" si="39"/>
        <v>UAL-2020-Q3</v>
      </c>
      <c r="I204" s="3">
        <f>_xlfn.XLOOKUP(H204,prices!A:A,prices!F:F,"no match")</f>
        <v>34.590000000000003</v>
      </c>
      <c r="J204">
        <f>_xlfn.XLOOKUP(A204,current!$A:$A,current!$B:$B,"no match")</f>
        <v>111.38</v>
      </c>
      <c r="K204">
        <f t="shared" si="40"/>
        <v>0</v>
      </c>
      <c r="L204">
        <f t="shared" si="41"/>
        <v>0</v>
      </c>
      <c r="M204">
        <f t="shared" si="42"/>
        <v>0</v>
      </c>
      <c r="N204" t="str">
        <f t="shared" si="43"/>
        <v>SPY-2020-Q3</v>
      </c>
      <c r="O204">
        <f>_xlfn.XLOOKUP(N204,prices!$A:$A,prices!$F:$F,"no match")</f>
        <v>305.37</v>
      </c>
      <c r="P204">
        <f t="shared" si="44"/>
        <v>0</v>
      </c>
      <c r="Q204">
        <f>IF(P204="","",P204*assumptions!$B$4)</f>
        <v>0</v>
      </c>
      <c r="R204" s="10">
        <f t="shared" ca="1" si="45"/>
        <v>5.938398357289528</v>
      </c>
      <c r="S204">
        <f ca="1">IF(E204="","",E204*1000000*(1+assumptions!$B$3)^R204)</f>
        <v>0</v>
      </c>
      <c r="T204">
        <f t="shared" si="46"/>
        <v>0</v>
      </c>
      <c r="U204">
        <f t="shared" si="50"/>
        <v>28</v>
      </c>
      <c r="V204">
        <f t="shared" si="51"/>
        <v>0</v>
      </c>
      <c r="W204">
        <f t="shared" si="47"/>
        <v>0</v>
      </c>
      <c r="X204">
        <f t="shared" si="48"/>
        <v>0</v>
      </c>
    </row>
    <row r="205" spans="1:24" x14ac:dyDescent="0.2">
      <c r="A205" t="s">
        <v>17</v>
      </c>
      <c r="B205">
        <v>2020</v>
      </c>
      <c r="C205" t="s">
        <v>11</v>
      </c>
      <c r="D205" s="1">
        <v>44196</v>
      </c>
      <c r="E205" s="14">
        <v>0</v>
      </c>
      <c r="F205" t="s">
        <v>8</v>
      </c>
      <c r="G205" t="str">
        <f t="shared" si="49"/>
        <v/>
      </c>
      <c r="H205" t="str">
        <f t="shared" si="39"/>
        <v>UAL-2020-Q4</v>
      </c>
      <c r="I205" s="3">
        <f>_xlfn.XLOOKUP(H205,prices!A:A,prices!F:F,"no match")</f>
        <v>40.450000000000003</v>
      </c>
      <c r="J205">
        <f>_xlfn.XLOOKUP(A205,current!$A:$A,current!$B:$B,"no match")</f>
        <v>111.38</v>
      </c>
      <c r="K205">
        <f t="shared" si="40"/>
        <v>0</v>
      </c>
      <c r="L205">
        <f t="shared" si="41"/>
        <v>0</v>
      </c>
      <c r="M205">
        <f t="shared" si="42"/>
        <v>0</v>
      </c>
      <c r="N205" t="str">
        <f t="shared" si="43"/>
        <v>SPY-2020-Q4</v>
      </c>
      <c r="O205">
        <f>_xlfn.XLOOKUP(N205,prices!$A:$A,prices!$F:$F,"no match")</f>
        <v>328.23</v>
      </c>
      <c r="P205">
        <f t="shared" si="44"/>
        <v>0</v>
      </c>
      <c r="Q205">
        <f>IF(P205="","",P205*assumptions!$B$4)</f>
        <v>0</v>
      </c>
      <c r="R205" s="10">
        <f t="shared" ca="1" si="45"/>
        <v>5.6865160848733742</v>
      </c>
      <c r="S205">
        <f ca="1">IF(E205="","",E205*1000000*(1+assumptions!$B$3)^R205)</f>
        <v>0</v>
      </c>
      <c r="T205">
        <f t="shared" si="46"/>
        <v>0</v>
      </c>
      <c r="U205">
        <f t="shared" si="50"/>
        <v>28</v>
      </c>
      <c r="V205">
        <f t="shared" si="51"/>
        <v>0</v>
      </c>
      <c r="W205">
        <f t="shared" si="47"/>
        <v>0</v>
      </c>
      <c r="X205">
        <f t="shared" si="48"/>
        <v>0</v>
      </c>
    </row>
    <row r="206" spans="1:24" x14ac:dyDescent="0.2">
      <c r="A206" t="s">
        <v>17</v>
      </c>
      <c r="B206">
        <v>2021</v>
      </c>
      <c r="C206" t="s">
        <v>7</v>
      </c>
      <c r="D206" s="1">
        <v>44286</v>
      </c>
      <c r="E206" s="14">
        <v>0</v>
      </c>
      <c r="F206" t="s">
        <v>8</v>
      </c>
      <c r="G206" t="str">
        <f t="shared" si="49"/>
        <v/>
      </c>
      <c r="H206" t="str">
        <f t="shared" si="39"/>
        <v>UAL-2021-Q1</v>
      </c>
      <c r="I206" s="3">
        <f>_xlfn.XLOOKUP(H206,prices!A:A,prices!F:F,"no match")</f>
        <v>48.83</v>
      </c>
      <c r="J206">
        <f>_xlfn.XLOOKUP(A206,current!$A:$A,current!$B:$B,"no match")</f>
        <v>111.38</v>
      </c>
      <c r="K206">
        <f t="shared" si="40"/>
        <v>0</v>
      </c>
      <c r="L206">
        <f t="shared" si="41"/>
        <v>0</v>
      </c>
      <c r="M206">
        <f t="shared" si="42"/>
        <v>0</v>
      </c>
      <c r="N206" t="str">
        <f t="shared" si="43"/>
        <v>SPY-2021-Q1</v>
      </c>
      <c r="O206">
        <f>_xlfn.XLOOKUP(N206,prices!$A:$A,prices!$F:$F,"no match")</f>
        <v>358.26</v>
      </c>
      <c r="P206">
        <f t="shared" si="44"/>
        <v>0</v>
      </c>
      <c r="Q206">
        <f>IF(P206="","",P206*assumptions!$B$4)</f>
        <v>0</v>
      </c>
      <c r="R206" s="10">
        <f t="shared" ca="1" si="45"/>
        <v>5.4401095140314855</v>
      </c>
      <c r="S206">
        <f ca="1">IF(E206="","",E206*1000000*(1+assumptions!$B$3)^R206)</f>
        <v>0</v>
      </c>
      <c r="T206">
        <f t="shared" si="46"/>
        <v>0</v>
      </c>
      <c r="U206">
        <f t="shared" si="50"/>
        <v>28</v>
      </c>
      <c r="V206">
        <f t="shared" si="51"/>
        <v>0</v>
      </c>
      <c r="W206">
        <f t="shared" si="47"/>
        <v>0</v>
      </c>
      <c r="X206">
        <f t="shared" si="48"/>
        <v>0</v>
      </c>
    </row>
    <row r="207" spans="1:24" x14ac:dyDescent="0.2">
      <c r="A207" t="s">
        <v>17</v>
      </c>
      <c r="B207">
        <v>2021</v>
      </c>
      <c r="C207" t="s">
        <v>9</v>
      </c>
      <c r="D207" s="1">
        <v>44377</v>
      </c>
      <c r="E207" s="14">
        <v>0</v>
      </c>
      <c r="F207" t="s">
        <v>8</v>
      </c>
      <c r="G207" t="str">
        <f t="shared" si="49"/>
        <v/>
      </c>
      <c r="H207" t="str">
        <f t="shared" si="39"/>
        <v>UAL-2021-Q2</v>
      </c>
      <c r="I207" s="3">
        <f>_xlfn.XLOOKUP(H207,prices!A:A,prices!F:F,"no match")</f>
        <v>55.46</v>
      </c>
      <c r="J207">
        <f>_xlfn.XLOOKUP(A207,current!$A:$A,current!$B:$B,"no match")</f>
        <v>111.38</v>
      </c>
      <c r="K207">
        <f t="shared" si="40"/>
        <v>0</v>
      </c>
      <c r="L207">
        <f t="shared" si="41"/>
        <v>0</v>
      </c>
      <c r="M207">
        <f t="shared" si="42"/>
        <v>0</v>
      </c>
      <c r="N207" t="str">
        <f t="shared" si="43"/>
        <v>SPY-2021-Q2</v>
      </c>
      <c r="O207">
        <f>_xlfn.XLOOKUP(N207,prices!$A:$A,prices!$F:$F,"no match")</f>
        <v>389.03</v>
      </c>
      <c r="P207">
        <f t="shared" si="44"/>
        <v>0</v>
      </c>
      <c r="Q207">
        <f>IF(P207="","",P207*assumptions!$B$4)</f>
        <v>0</v>
      </c>
      <c r="R207" s="10">
        <f t="shared" ca="1" si="45"/>
        <v>5.1909650924024637</v>
      </c>
      <c r="S207">
        <f ca="1">IF(E207="","",E207*1000000*(1+assumptions!$B$3)^R207)</f>
        <v>0</v>
      </c>
      <c r="T207">
        <f t="shared" si="46"/>
        <v>0</v>
      </c>
      <c r="U207">
        <f t="shared" si="50"/>
        <v>28</v>
      </c>
      <c r="V207">
        <f t="shared" si="51"/>
        <v>0</v>
      </c>
      <c r="W207">
        <f t="shared" si="47"/>
        <v>0</v>
      </c>
      <c r="X207">
        <f t="shared" si="48"/>
        <v>0</v>
      </c>
    </row>
    <row r="208" spans="1:24" x14ac:dyDescent="0.2">
      <c r="A208" t="s">
        <v>17</v>
      </c>
      <c r="B208">
        <v>2021</v>
      </c>
      <c r="C208" t="s">
        <v>10</v>
      </c>
      <c r="D208" s="1">
        <v>44469</v>
      </c>
      <c r="E208" s="14">
        <v>0</v>
      </c>
      <c r="F208" t="s">
        <v>8</v>
      </c>
      <c r="G208" t="str">
        <f t="shared" si="49"/>
        <v/>
      </c>
      <c r="H208" t="str">
        <f t="shared" si="39"/>
        <v>UAL-2021-Q3</v>
      </c>
      <c r="I208" s="3">
        <f>_xlfn.XLOOKUP(H208,prices!A:A,prices!F:F,"no match")</f>
        <v>47.12</v>
      </c>
      <c r="J208">
        <f>_xlfn.XLOOKUP(A208,current!$A:$A,current!$B:$B,"no match")</f>
        <v>111.38</v>
      </c>
      <c r="K208">
        <f t="shared" si="40"/>
        <v>0</v>
      </c>
      <c r="L208">
        <f t="shared" si="41"/>
        <v>0</v>
      </c>
      <c r="M208">
        <f t="shared" si="42"/>
        <v>0</v>
      </c>
      <c r="N208" t="str">
        <f t="shared" si="43"/>
        <v>SPY-2021-Q3</v>
      </c>
      <c r="O208">
        <f>_xlfn.XLOOKUP(N208,prices!$A:$A,prices!$F:$F,"no match")</f>
        <v>412.48</v>
      </c>
      <c r="P208">
        <f t="shared" si="44"/>
        <v>0</v>
      </c>
      <c r="Q208">
        <f>IF(P208="","",P208*assumptions!$B$4)</f>
        <v>0</v>
      </c>
      <c r="R208" s="10">
        <f t="shared" ca="1" si="45"/>
        <v>4.9390828199863108</v>
      </c>
      <c r="S208">
        <f ca="1">IF(E208="","",E208*1000000*(1+assumptions!$B$3)^R208)</f>
        <v>0</v>
      </c>
      <c r="T208">
        <f t="shared" si="46"/>
        <v>0</v>
      </c>
      <c r="U208">
        <f t="shared" si="50"/>
        <v>28</v>
      </c>
      <c r="V208">
        <f t="shared" si="51"/>
        <v>0</v>
      </c>
      <c r="W208">
        <f t="shared" si="47"/>
        <v>0</v>
      </c>
      <c r="X208">
        <f t="shared" si="48"/>
        <v>0</v>
      </c>
    </row>
    <row r="209" spans="1:24" x14ac:dyDescent="0.2">
      <c r="A209" t="s">
        <v>17</v>
      </c>
      <c r="B209">
        <v>2021</v>
      </c>
      <c r="C209" t="s">
        <v>11</v>
      </c>
      <c r="D209" s="1">
        <v>44561</v>
      </c>
      <c r="E209" s="14">
        <v>0</v>
      </c>
      <c r="F209" t="s">
        <v>8</v>
      </c>
      <c r="G209" t="str">
        <f t="shared" si="49"/>
        <v/>
      </c>
      <c r="H209" t="str">
        <f t="shared" si="39"/>
        <v>UAL-2021-Q4</v>
      </c>
      <c r="I209" s="3">
        <f>_xlfn.XLOOKUP(H209,prices!A:A,prices!F:F,"no match")</f>
        <v>46.38</v>
      </c>
      <c r="J209">
        <f>_xlfn.XLOOKUP(A209,current!$A:$A,current!$B:$B,"no match")</f>
        <v>111.38</v>
      </c>
      <c r="K209">
        <f t="shared" si="40"/>
        <v>0</v>
      </c>
      <c r="L209">
        <f t="shared" si="41"/>
        <v>0</v>
      </c>
      <c r="M209">
        <f t="shared" si="42"/>
        <v>0</v>
      </c>
      <c r="N209" t="str">
        <f t="shared" si="43"/>
        <v>SPY-2021-Q4</v>
      </c>
      <c r="O209">
        <f>_xlfn.XLOOKUP(N209,prices!$A:$A,prices!$F:$F,"no match")</f>
        <v>430.69</v>
      </c>
      <c r="P209">
        <f t="shared" si="44"/>
        <v>0</v>
      </c>
      <c r="Q209">
        <f>IF(P209="","",P209*assumptions!$B$4)</f>
        <v>0</v>
      </c>
      <c r="R209" s="10">
        <f t="shared" ca="1" si="45"/>
        <v>4.687200547570157</v>
      </c>
      <c r="S209">
        <f ca="1">IF(E209="","",E209*1000000*(1+assumptions!$B$3)^R209)</f>
        <v>0</v>
      </c>
      <c r="T209">
        <f t="shared" si="46"/>
        <v>0</v>
      </c>
      <c r="U209">
        <f t="shared" si="50"/>
        <v>28</v>
      </c>
      <c r="V209">
        <f t="shared" si="51"/>
        <v>0</v>
      </c>
      <c r="W209">
        <f t="shared" si="47"/>
        <v>0</v>
      </c>
      <c r="X209">
        <f t="shared" si="48"/>
        <v>0</v>
      </c>
    </row>
    <row r="210" spans="1:24" x14ac:dyDescent="0.2">
      <c r="A210" t="s">
        <v>17</v>
      </c>
      <c r="B210">
        <v>2022</v>
      </c>
      <c r="C210" t="s">
        <v>7</v>
      </c>
      <c r="D210" s="1">
        <v>44651</v>
      </c>
      <c r="E210" s="14">
        <v>0</v>
      </c>
      <c r="F210" t="s">
        <v>12</v>
      </c>
      <c r="G210" t="str">
        <f t="shared" si="49"/>
        <v>no repurchases reported</v>
      </c>
      <c r="H210" t="str">
        <f t="shared" si="39"/>
        <v>UAL-2022-Q1</v>
      </c>
      <c r="I210" s="3">
        <f>_xlfn.XLOOKUP(H210,prices!A:A,prices!F:F,"no match")</f>
        <v>43.35</v>
      </c>
      <c r="J210">
        <f>_xlfn.XLOOKUP(A210,current!$A:$A,current!$B:$B,"no match")</f>
        <v>111.38</v>
      </c>
      <c r="K210">
        <f t="shared" si="40"/>
        <v>0</v>
      </c>
      <c r="L210">
        <f t="shared" si="41"/>
        <v>0</v>
      </c>
      <c r="M210">
        <f t="shared" si="42"/>
        <v>0</v>
      </c>
      <c r="N210" t="str">
        <f t="shared" si="43"/>
        <v>SPY-2022-Q1</v>
      </c>
      <c r="O210">
        <f>_xlfn.XLOOKUP(N210,prices!$A:$A,prices!$F:$F,"no match")</f>
        <v>419.12</v>
      </c>
      <c r="P210">
        <f t="shared" si="44"/>
        <v>0</v>
      </c>
      <c r="Q210">
        <f>IF(P210="","",P210*assumptions!$B$4)</f>
        <v>0</v>
      </c>
      <c r="R210" s="10">
        <f t="shared" ca="1" si="45"/>
        <v>4.4407939767282683</v>
      </c>
      <c r="S210">
        <f ca="1">IF(E210="","",E210*1000000*(1+assumptions!$B$3)^R210)</f>
        <v>0</v>
      </c>
      <c r="T210">
        <f t="shared" si="46"/>
        <v>0</v>
      </c>
      <c r="U210">
        <f t="shared" si="50"/>
        <v>28</v>
      </c>
      <c r="V210">
        <f t="shared" si="51"/>
        <v>0</v>
      </c>
      <c r="W210">
        <f t="shared" si="47"/>
        <v>0</v>
      </c>
      <c r="X210">
        <f t="shared" si="48"/>
        <v>0</v>
      </c>
    </row>
    <row r="211" spans="1:24" x14ac:dyDescent="0.2">
      <c r="A211" t="s">
        <v>17</v>
      </c>
      <c r="B211">
        <v>2022</v>
      </c>
      <c r="C211" t="s">
        <v>9</v>
      </c>
      <c r="D211" s="1">
        <v>44742</v>
      </c>
      <c r="E211" s="14">
        <v>0</v>
      </c>
      <c r="F211" t="s">
        <v>12</v>
      </c>
      <c r="G211" t="str">
        <f t="shared" si="49"/>
        <v>no repurchases reported</v>
      </c>
      <c r="H211" t="str">
        <f t="shared" si="39"/>
        <v>UAL-2022-Q2</v>
      </c>
      <c r="I211" s="3">
        <f>_xlfn.XLOOKUP(H211,prices!A:A,prices!F:F,"no match")</f>
        <v>43.89</v>
      </c>
      <c r="J211">
        <f>_xlfn.XLOOKUP(A211,current!$A:$A,current!$B:$B,"no match")</f>
        <v>111.38</v>
      </c>
      <c r="K211">
        <f t="shared" si="40"/>
        <v>0</v>
      </c>
      <c r="L211">
        <f t="shared" si="41"/>
        <v>0</v>
      </c>
      <c r="M211">
        <f t="shared" si="42"/>
        <v>0</v>
      </c>
      <c r="N211" t="str">
        <f t="shared" si="43"/>
        <v>SPY-2022-Q2</v>
      </c>
      <c r="O211">
        <f>_xlfn.XLOOKUP(N211,prices!$A:$A,prices!$F:$F,"no match")</f>
        <v>386.88</v>
      </c>
      <c r="P211">
        <f t="shared" si="44"/>
        <v>0</v>
      </c>
      <c r="Q211">
        <f>IF(P211="","",P211*assumptions!$B$4)</f>
        <v>0</v>
      </c>
      <c r="R211" s="10">
        <f t="shared" ca="1" si="45"/>
        <v>4.1916495550992474</v>
      </c>
      <c r="S211">
        <f ca="1">IF(E211="","",E211*1000000*(1+assumptions!$B$3)^R211)</f>
        <v>0</v>
      </c>
      <c r="T211">
        <f t="shared" si="46"/>
        <v>0</v>
      </c>
      <c r="U211">
        <f t="shared" si="50"/>
        <v>28</v>
      </c>
      <c r="V211">
        <f t="shared" si="51"/>
        <v>0</v>
      </c>
      <c r="W211">
        <f t="shared" si="47"/>
        <v>0</v>
      </c>
      <c r="X211">
        <f t="shared" si="48"/>
        <v>0</v>
      </c>
    </row>
    <row r="212" spans="1:24" x14ac:dyDescent="0.2">
      <c r="A212" t="s">
        <v>17</v>
      </c>
      <c r="B212">
        <v>2022</v>
      </c>
      <c r="C212" t="s">
        <v>10</v>
      </c>
      <c r="D212" s="1">
        <v>44834</v>
      </c>
      <c r="E212" s="14">
        <v>0</v>
      </c>
      <c r="F212" t="s">
        <v>12</v>
      </c>
      <c r="G212" t="str">
        <f t="shared" si="49"/>
        <v>no repurchases reported</v>
      </c>
      <c r="H212" t="str">
        <f t="shared" si="39"/>
        <v>UAL-2022-Q3</v>
      </c>
      <c r="I212" s="3">
        <f>_xlfn.XLOOKUP(H212,prices!A:A,prices!F:F,"no match")</f>
        <v>37.200000000000003</v>
      </c>
      <c r="J212">
        <f>_xlfn.XLOOKUP(A212,current!$A:$A,current!$B:$B,"no match")</f>
        <v>111.38</v>
      </c>
      <c r="K212">
        <f t="shared" si="40"/>
        <v>0</v>
      </c>
      <c r="L212">
        <f t="shared" si="41"/>
        <v>0</v>
      </c>
      <c r="M212">
        <f t="shared" si="42"/>
        <v>0</v>
      </c>
      <c r="N212" t="str">
        <f t="shared" si="43"/>
        <v>SPY-2022-Q3</v>
      </c>
      <c r="O212">
        <f>_xlfn.XLOOKUP(N212,prices!$A:$A,prices!$F:$F,"no match")</f>
        <v>376.69</v>
      </c>
      <c r="P212">
        <f t="shared" si="44"/>
        <v>0</v>
      </c>
      <c r="Q212">
        <f>IF(P212="","",P212*assumptions!$B$4)</f>
        <v>0</v>
      </c>
      <c r="R212" s="10">
        <f t="shared" ca="1" si="45"/>
        <v>3.9397672826830936</v>
      </c>
      <c r="S212">
        <f ca="1">IF(E212="","",E212*1000000*(1+assumptions!$B$3)^R212)</f>
        <v>0</v>
      </c>
      <c r="T212">
        <f t="shared" si="46"/>
        <v>0</v>
      </c>
      <c r="U212">
        <f t="shared" si="50"/>
        <v>28</v>
      </c>
      <c r="V212">
        <f t="shared" si="51"/>
        <v>0</v>
      </c>
      <c r="W212">
        <f t="shared" si="47"/>
        <v>0</v>
      </c>
      <c r="X212">
        <f t="shared" si="48"/>
        <v>0</v>
      </c>
    </row>
    <row r="213" spans="1:24" x14ac:dyDescent="0.2">
      <c r="A213" t="s">
        <v>17</v>
      </c>
      <c r="B213">
        <v>2022</v>
      </c>
      <c r="C213" t="s">
        <v>11</v>
      </c>
      <c r="D213" s="1">
        <v>44926</v>
      </c>
      <c r="E213" s="14">
        <v>0</v>
      </c>
      <c r="F213" t="s">
        <v>8</v>
      </c>
      <c r="G213" t="str">
        <f t="shared" si="49"/>
        <v/>
      </c>
      <c r="H213" t="str">
        <f t="shared" si="39"/>
        <v>UAL-2022-Q4</v>
      </c>
      <c r="I213" s="3">
        <f>_xlfn.XLOOKUP(H213,prices!A:A,prices!F:F,"no match")</f>
        <v>40.58</v>
      </c>
      <c r="J213">
        <f>_xlfn.XLOOKUP(A213,current!$A:$A,current!$B:$B,"no match")</f>
        <v>111.38</v>
      </c>
      <c r="K213">
        <f t="shared" si="40"/>
        <v>0</v>
      </c>
      <c r="L213">
        <f t="shared" si="41"/>
        <v>0</v>
      </c>
      <c r="M213">
        <f t="shared" si="42"/>
        <v>0</v>
      </c>
      <c r="N213" t="str">
        <f t="shared" si="43"/>
        <v>SPY-2022-Q4</v>
      </c>
      <c r="O213">
        <f>_xlfn.XLOOKUP(N213,prices!$A:$A,prices!$F:$F,"no match")</f>
        <v>366.1</v>
      </c>
      <c r="P213">
        <f t="shared" si="44"/>
        <v>0</v>
      </c>
      <c r="Q213">
        <f>IF(P213="","",P213*assumptions!$B$4)</f>
        <v>0</v>
      </c>
      <c r="R213" s="10">
        <f t="shared" ca="1" si="45"/>
        <v>3.6878850102669403</v>
      </c>
      <c r="S213">
        <f ca="1">IF(E213="","",E213*1000000*(1+assumptions!$B$3)^R213)</f>
        <v>0</v>
      </c>
      <c r="T213">
        <f t="shared" si="46"/>
        <v>0</v>
      </c>
      <c r="U213">
        <f t="shared" si="50"/>
        <v>28</v>
      </c>
      <c r="V213">
        <f t="shared" si="51"/>
        <v>0</v>
      </c>
      <c r="W213">
        <f t="shared" si="47"/>
        <v>0</v>
      </c>
      <c r="X213">
        <f t="shared" si="48"/>
        <v>0</v>
      </c>
    </row>
    <row r="214" spans="1:24" x14ac:dyDescent="0.2">
      <c r="A214" t="s">
        <v>17</v>
      </c>
      <c r="B214">
        <v>2023</v>
      </c>
      <c r="C214" t="s">
        <v>7</v>
      </c>
      <c r="D214" s="1">
        <v>45016</v>
      </c>
      <c r="E214" s="14">
        <v>0</v>
      </c>
      <c r="F214" t="s">
        <v>12</v>
      </c>
      <c r="G214" t="str">
        <f t="shared" si="49"/>
        <v>no repurchases reported</v>
      </c>
      <c r="H214" t="str">
        <f t="shared" si="39"/>
        <v>UAL-2023-Q1</v>
      </c>
      <c r="I214" s="3">
        <f>_xlfn.XLOOKUP(H214,prices!A:A,prices!F:F,"no match")</f>
        <v>47.92</v>
      </c>
      <c r="J214">
        <f>_xlfn.XLOOKUP(A214,current!$A:$A,current!$B:$B,"no match")</f>
        <v>111.38</v>
      </c>
      <c r="K214">
        <f t="shared" si="40"/>
        <v>0</v>
      </c>
      <c r="L214">
        <f t="shared" si="41"/>
        <v>0</v>
      </c>
      <c r="M214">
        <f t="shared" si="42"/>
        <v>0</v>
      </c>
      <c r="N214" t="str">
        <f t="shared" si="43"/>
        <v>SPY-2023-Q1</v>
      </c>
      <c r="O214">
        <f>_xlfn.XLOOKUP(N214,prices!$A:$A,prices!$F:$F,"no match")</f>
        <v>381.76</v>
      </c>
      <c r="P214">
        <f t="shared" si="44"/>
        <v>0</v>
      </c>
      <c r="Q214">
        <f>IF(P214="","",P214*assumptions!$B$4)</f>
        <v>0</v>
      </c>
      <c r="R214" s="10">
        <f t="shared" ca="1" si="45"/>
        <v>3.4414784394250515</v>
      </c>
      <c r="S214">
        <f ca="1">IF(E214="","",E214*1000000*(1+assumptions!$B$3)^R214)</f>
        <v>0</v>
      </c>
      <c r="T214">
        <f t="shared" si="46"/>
        <v>0</v>
      </c>
      <c r="U214">
        <f t="shared" si="50"/>
        <v>28</v>
      </c>
      <c r="V214">
        <f t="shared" si="51"/>
        <v>0</v>
      </c>
      <c r="W214">
        <f t="shared" si="47"/>
        <v>0</v>
      </c>
      <c r="X214">
        <f t="shared" si="48"/>
        <v>0</v>
      </c>
    </row>
    <row r="215" spans="1:24" x14ac:dyDescent="0.2">
      <c r="A215" t="s">
        <v>17</v>
      </c>
      <c r="B215">
        <v>2023</v>
      </c>
      <c r="C215" t="s">
        <v>9</v>
      </c>
      <c r="D215" s="1">
        <v>45107</v>
      </c>
      <c r="E215" s="14">
        <v>0</v>
      </c>
      <c r="F215" t="s">
        <v>12</v>
      </c>
      <c r="G215" t="str">
        <f t="shared" si="49"/>
        <v>no repurchases reported</v>
      </c>
      <c r="H215" t="str">
        <f t="shared" si="39"/>
        <v>UAL-2023-Q2</v>
      </c>
      <c r="I215" s="3">
        <f>_xlfn.XLOOKUP(H215,prices!A:A,prices!F:F,"no match")</f>
        <v>47.22</v>
      </c>
      <c r="J215">
        <f>_xlfn.XLOOKUP(A215,current!$A:$A,current!$B:$B,"no match")</f>
        <v>111.38</v>
      </c>
      <c r="K215">
        <f t="shared" si="40"/>
        <v>0</v>
      </c>
      <c r="L215">
        <f t="shared" si="41"/>
        <v>0</v>
      </c>
      <c r="M215">
        <f t="shared" si="42"/>
        <v>0</v>
      </c>
      <c r="N215" t="str">
        <f t="shared" si="43"/>
        <v>SPY-2023-Q2</v>
      </c>
      <c r="O215">
        <f>_xlfn.XLOOKUP(N215,prices!$A:$A,prices!$F:$F,"no match")</f>
        <v>403.08</v>
      </c>
      <c r="P215">
        <f t="shared" si="44"/>
        <v>0</v>
      </c>
      <c r="Q215">
        <f>IF(P215="","",P215*assumptions!$B$4)</f>
        <v>0</v>
      </c>
      <c r="R215" s="10">
        <f t="shared" ca="1" si="45"/>
        <v>3.1923340177960302</v>
      </c>
      <c r="S215">
        <f ca="1">IF(E215="","",E215*1000000*(1+assumptions!$B$3)^R215)</f>
        <v>0</v>
      </c>
      <c r="T215">
        <f t="shared" si="46"/>
        <v>0</v>
      </c>
      <c r="U215">
        <f t="shared" si="50"/>
        <v>28</v>
      </c>
      <c r="V215">
        <f t="shared" si="51"/>
        <v>0</v>
      </c>
      <c r="W215">
        <f t="shared" si="47"/>
        <v>0</v>
      </c>
      <c r="X215">
        <f t="shared" si="48"/>
        <v>0</v>
      </c>
    </row>
    <row r="216" spans="1:24" x14ac:dyDescent="0.2">
      <c r="A216" t="s">
        <v>17</v>
      </c>
      <c r="B216">
        <v>2023</v>
      </c>
      <c r="C216" t="s">
        <v>10</v>
      </c>
      <c r="D216" s="1">
        <v>45199</v>
      </c>
      <c r="E216" s="14">
        <v>0</v>
      </c>
      <c r="F216" t="s">
        <v>8</v>
      </c>
      <c r="G216" t="str">
        <f t="shared" si="49"/>
        <v/>
      </c>
      <c r="H216" t="str">
        <f t="shared" si="39"/>
        <v>UAL-2023-Q3</v>
      </c>
      <c r="I216" s="3">
        <f>_xlfn.XLOOKUP(H216,prices!A:A,prices!F:F,"no match")</f>
        <v>50.56</v>
      </c>
      <c r="J216">
        <f>_xlfn.XLOOKUP(A216,current!$A:$A,current!$B:$B,"no match")</f>
        <v>111.38</v>
      </c>
      <c r="K216">
        <f t="shared" si="40"/>
        <v>0</v>
      </c>
      <c r="L216">
        <f t="shared" si="41"/>
        <v>0</v>
      </c>
      <c r="M216">
        <f t="shared" si="42"/>
        <v>0</v>
      </c>
      <c r="N216" t="str">
        <f t="shared" si="43"/>
        <v>SPY-2023-Q3</v>
      </c>
      <c r="O216">
        <f>_xlfn.XLOOKUP(N216,prices!$A:$A,prices!$F:$F,"no match")</f>
        <v>428.75</v>
      </c>
      <c r="P216">
        <f t="shared" si="44"/>
        <v>0</v>
      </c>
      <c r="Q216">
        <f>IF(P216="","",P216*assumptions!$B$4)</f>
        <v>0</v>
      </c>
      <c r="R216" s="10">
        <f t="shared" ca="1" si="45"/>
        <v>2.9404517453798769</v>
      </c>
      <c r="S216">
        <f ca="1">IF(E216="","",E216*1000000*(1+assumptions!$B$3)^R216)</f>
        <v>0</v>
      </c>
      <c r="T216">
        <f t="shared" si="46"/>
        <v>0</v>
      </c>
      <c r="U216">
        <f t="shared" si="50"/>
        <v>28</v>
      </c>
      <c r="V216">
        <f t="shared" si="51"/>
        <v>0</v>
      </c>
      <c r="W216">
        <f t="shared" si="47"/>
        <v>0</v>
      </c>
      <c r="X216">
        <f t="shared" si="48"/>
        <v>0</v>
      </c>
    </row>
    <row r="217" spans="1:24" x14ac:dyDescent="0.2">
      <c r="A217" t="s">
        <v>17</v>
      </c>
      <c r="B217">
        <v>2023</v>
      </c>
      <c r="C217" t="s">
        <v>11</v>
      </c>
      <c r="D217" s="1">
        <v>45291</v>
      </c>
      <c r="E217" s="14">
        <v>0</v>
      </c>
      <c r="F217" t="s">
        <v>8</v>
      </c>
      <c r="G217" t="str">
        <f t="shared" si="49"/>
        <v/>
      </c>
      <c r="H217" t="str">
        <f t="shared" si="39"/>
        <v>UAL-2023-Q4</v>
      </c>
      <c r="I217" s="3">
        <f>_xlfn.XLOOKUP(H217,prices!A:A,prices!F:F,"no match")</f>
        <v>39.32</v>
      </c>
      <c r="J217">
        <f>_xlfn.XLOOKUP(A217,current!$A:$A,current!$B:$B,"no match")</f>
        <v>111.38</v>
      </c>
      <c r="K217">
        <f t="shared" si="40"/>
        <v>0</v>
      </c>
      <c r="L217">
        <f t="shared" si="41"/>
        <v>0</v>
      </c>
      <c r="M217">
        <f t="shared" si="42"/>
        <v>0</v>
      </c>
      <c r="N217" t="str">
        <f t="shared" si="43"/>
        <v>SPY-2023-Q4</v>
      </c>
      <c r="O217">
        <f>_xlfn.XLOOKUP(N217,prices!$A:$A,prices!$F:$F,"no match")</f>
        <v>430.96</v>
      </c>
      <c r="P217">
        <f t="shared" si="44"/>
        <v>0</v>
      </c>
      <c r="Q217">
        <f>IF(P217="","",P217*assumptions!$B$4)</f>
        <v>0</v>
      </c>
      <c r="R217" s="10">
        <f t="shared" ca="1" si="45"/>
        <v>2.6885694729637235</v>
      </c>
      <c r="S217">
        <f ca="1">IF(E217="","",E217*1000000*(1+assumptions!$B$3)^R217)</f>
        <v>0</v>
      </c>
      <c r="T217">
        <f t="shared" si="46"/>
        <v>0</v>
      </c>
      <c r="U217">
        <f t="shared" si="50"/>
        <v>28</v>
      </c>
      <c r="V217">
        <f t="shared" si="51"/>
        <v>0</v>
      </c>
      <c r="W217">
        <f t="shared" si="47"/>
        <v>0</v>
      </c>
      <c r="X217">
        <f t="shared" si="48"/>
        <v>0</v>
      </c>
    </row>
    <row r="218" spans="1:24" x14ac:dyDescent="0.2">
      <c r="A218" t="s">
        <v>17</v>
      </c>
      <c r="B218">
        <v>2024</v>
      </c>
      <c r="C218" t="s">
        <v>7</v>
      </c>
      <c r="D218" s="1">
        <v>45382</v>
      </c>
      <c r="E218" s="14">
        <v>0</v>
      </c>
      <c r="F218" t="s">
        <v>8</v>
      </c>
      <c r="G218" t="str">
        <f t="shared" si="49"/>
        <v/>
      </c>
      <c r="H218" t="str">
        <f t="shared" si="39"/>
        <v>UAL-2024-Q1</v>
      </c>
      <c r="I218" s="3">
        <f>_xlfn.XLOOKUP(H218,prices!A:A,prices!F:F,"no match")</f>
        <v>42.85</v>
      </c>
      <c r="J218">
        <f>_xlfn.XLOOKUP(A218,current!$A:$A,current!$B:$B,"no match")</f>
        <v>111.38</v>
      </c>
      <c r="K218">
        <f t="shared" si="40"/>
        <v>0</v>
      </c>
      <c r="L218">
        <f t="shared" si="41"/>
        <v>0</v>
      </c>
      <c r="M218">
        <f t="shared" si="42"/>
        <v>0</v>
      </c>
      <c r="N218" t="str">
        <f t="shared" si="43"/>
        <v>SPY-2024-Q1</v>
      </c>
      <c r="O218">
        <f>_xlfn.XLOOKUP(N218,prices!$A:$A,prices!$F:$F,"no match")</f>
        <v>483.53</v>
      </c>
      <c r="P218">
        <f t="shared" si="44"/>
        <v>0</v>
      </c>
      <c r="Q218">
        <f>IF(P218="","",P218*assumptions!$B$4)</f>
        <v>0</v>
      </c>
      <c r="R218" s="10">
        <f t="shared" ca="1" si="45"/>
        <v>2.4394250513347022</v>
      </c>
      <c r="S218">
        <f ca="1">IF(E218="","",E218*1000000*(1+assumptions!$B$3)^R218)</f>
        <v>0</v>
      </c>
      <c r="T218">
        <f t="shared" si="46"/>
        <v>0</v>
      </c>
      <c r="U218">
        <f t="shared" si="50"/>
        <v>28</v>
      </c>
      <c r="V218">
        <f t="shared" si="51"/>
        <v>0</v>
      </c>
      <c r="W218">
        <f t="shared" si="47"/>
        <v>0</v>
      </c>
      <c r="X218">
        <f t="shared" si="48"/>
        <v>0</v>
      </c>
    </row>
    <row r="219" spans="1:24" x14ac:dyDescent="0.2">
      <c r="A219" t="s">
        <v>17</v>
      </c>
      <c r="B219">
        <v>2024</v>
      </c>
      <c r="C219" t="s">
        <v>9</v>
      </c>
      <c r="D219" s="1">
        <v>45473</v>
      </c>
      <c r="E219" s="14">
        <v>0</v>
      </c>
      <c r="F219" t="s">
        <v>8</v>
      </c>
      <c r="G219" t="str">
        <f t="shared" si="49"/>
        <v/>
      </c>
      <c r="H219" t="str">
        <f t="shared" si="39"/>
        <v>UAL-2024-Q2</v>
      </c>
      <c r="I219" s="3">
        <f>_xlfn.XLOOKUP(H219,prices!A:A,prices!F:F,"no match")</f>
        <v>50.33</v>
      </c>
      <c r="J219">
        <f>_xlfn.XLOOKUP(A219,current!$A:$A,current!$B:$B,"no match")</f>
        <v>111.38</v>
      </c>
      <c r="K219">
        <f t="shared" si="40"/>
        <v>0</v>
      </c>
      <c r="L219">
        <f t="shared" si="41"/>
        <v>0</v>
      </c>
      <c r="M219">
        <f t="shared" si="42"/>
        <v>0</v>
      </c>
      <c r="N219" t="str">
        <f t="shared" si="43"/>
        <v>SPY-2024-Q2</v>
      </c>
      <c r="O219">
        <f>_xlfn.XLOOKUP(N219,prices!$A:$A,prices!$F:$F,"no match")</f>
        <v>509.8</v>
      </c>
      <c r="P219">
        <f t="shared" si="44"/>
        <v>0</v>
      </c>
      <c r="Q219">
        <f>IF(P219="","",P219*assumptions!$B$4)</f>
        <v>0</v>
      </c>
      <c r="R219" s="10">
        <f t="shared" ca="1" si="45"/>
        <v>2.1902806297056809</v>
      </c>
      <c r="S219">
        <f ca="1">IF(E219="","",E219*1000000*(1+assumptions!$B$3)^R219)</f>
        <v>0</v>
      </c>
      <c r="T219">
        <f t="shared" si="46"/>
        <v>0</v>
      </c>
      <c r="U219">
        <f t="shared" si="50"/>
        <v>28</v>
      </c>
      <c r="V219">
        <f t="shared" si="51"/>
        <v>0</v>
      </c>
      <c r="W219">
        <f t="shared" si="47"/>
        <v>0</v>
      </c>
      <c r="X219">
        <f t="shared" si="48"/>
        <v>0</v>
      </c>
    </row>
    <row r="220" spans="1:24" x14ac:dyDescent="0.2">
      <c r="A220" t="s">
        <v>17</v>
      </c>
      <c r="B220">
        <v>2024</v>
      </c>
      <c r="C220" t="s">
        <v>10</v>
      </c>
      <c r="D220" s="1">
        <v>45565</v>
      </c>
      <c r="E220" s="14">
        <v>82</v>
      </c>
      <c r="F220" t="s">
        <v>8</v>
      </c>
      <c r="G220" t="str">
        <f t="shared" si="49"/>
        <v/>
      </c>
      <c r="H220" t="str">
        <f t="shared" si="39"/>
        <v>UAL-2024-Q3</v>
      </c>
      <c r="I220" s="3">
        <f>_xlfn.XLOOKUP(H220,prices!A:A,prices!F:F,"no match")</f>
        <v>46.29</v>
      </c>
      <c r="J220">
        <f>_xlfn.XLOOKUP(A220,current!$A:$A,current!$B:$B,"no match")</f>
        <v>111.38</v>
      </c>
      <c r="K220">
        <f t="shared" si="40"/>
        <v>1771440.9159645713</v>
      </c>
      <c r="L220">
        <f t="shared" si="41"/>
        <v>197303089.22013393</v>
      </c>
      <c r="M220">
        <f t="shared" si="42"/>
        <v>3736330</v>
      </c>
      <c r="N220" t="str">
        <f t="shared" si="43"/>
        <v>SPY-2024-Q3</v>
      </c>
      <c r="O220">
        <f>_xlfn.XLOOKUP(N220,prices!$A:$A,prices!$F:$F,"no match")</f>
        <v>540.33000000000004</v>
      </c>
      <c r="P220">
        <f t="shared" si="44"/>
        <v>151759.11017341254</v>
      </c>
      <c r="Q220">
        <f>IF(P220="","",P220*assumptions!$B$4)</f>
        <v>116883349.06446061</v>
      </c>
      <c r="R220" s="10">
        <f t="shared" ca="1" si="45"/>
        <v>1.9383983572895278</v>
      </c>
      <c r="S220">
        <f ca="1">IF(E220="","",E220*1000000*(1+assumptions!$B$3)^R220)</f>
        <v>88394740.108080864</v>
      </c>
      <c r="T220">
        <f t="shared" si="46"/>
        <v>1</v>
      </c>
      <c r="U220">
        <f t="shared" si="50"/>
        <v>28</v>
      </c>
      <c r="V220">
        <f t="shared" si="51"/>
        <v>348.21428571428572</v>
      </c>
      <c r="W220">
        <f t="shared" si="47"/>
        <v>7522451.6248495514</v>
      </c>
      <c r="X220">
        <f t="shared" si="48"/>
        <v>837850661.97574306</v>
      </c>
    </row>
    <row r="221" spans="1:24" x14ac:dyDescent="0.2">
      <c r="A221" t="s">
        <v>17</v>
      </c>
      <c r="B221">
        <v>2024</v>
      </c>
      <c r="C221" t="s">
        <v>11</v>
      </c>
      <c r="D221" s="1">
        <v>45657</v>
      </c>
      <c r="E221" s="14">
        <v>80</v>
      </c>
      <c r="F221" t="s">
        <v>8</v>
      </c>
      <c r="G221" t="str">
        <f t="shared" si="49"/>
        <v/>
      </c>
      <c r="H221" t="str">
        <f t="shared" si="39"/>
        <v>UAL-2024-Q4</v>
      </c>
      <c r="I221" s="3">
        <f>_xlfn.XLOOKUP(H221,prices!A:A,prices!F:F,"no match")</f>
        <v>84.54</v>
      </c>
      <c r="J221">
        <f>_xlfn.XLOOKUP(A221,current!$A:$A,current!$B:$B,"no match")</f>
        <v>111.38</v>
      </c>
      <c r="K221">
        <f t="shared" si="40"/>
        <v>946297.61059853318</v>
      </c>
      <c r="L221">
        <f t="shared" si="41"/>
        <v>105398627.86846462</v>
      </c>
      <c r="M221">
        <f t="shared" si="42"/>
        <v>3652560</v>
      </c>
      <c r="N221" t="str">
        <f t="shared" si="43"/>
        <v>SPY-2024-Q4</v>
      </c>
      <c r="O221">
        <f>_xlfn.XLOOKUP(N221,prices!$A:$A,prices!$F:$F,"no match")</f>
        <v>577.52</v>
      </c>
      <c r="P221">
        <f t="shared" si="44"/>
        <v>138523.34118298933</v>
      </c>
      <c r="Q221">
        <f>IF(P221="","",P221*assumptions!$B$4)</f>
        <v>106689292.14572656</v>
      </c>
      <c r="R221" s="10">
        <f t="shared" ca="1" si="45"/>
        <v>1.6865160848733745</v>
      </c>
      <c r="S221">
        <f ca="1">IF(E221="","",E221*1000000*(1+assumptions!$B$3)^R221)</f>
        <v>85401355.945797861</v>
      </c>
      <c r="T221">
        <f t="shared" si="46"/>
        <v>1</v>
      </c>
      <c r="U221">
        <f t="shared" si="50"/>
        <v>28</v>
      </c>
      <c r="V221">
        <f t="shared" si="51"/>
        <v>348.21428571428572</v>
      </c>
      <c r="W221">
        <f t="shared" si="47"/>
        <v>4118929.331846294</v>
      </c>
      <c r="X221">
        <f t="shared" si="48"/>
        <v>458766348.98104018</v>
      </c>
    </row>
    <row r="222" spans="1:24" x14ac:dyDescent="0.2">
      <c r="A222" t="s">
        <v>17</v>
      </c>
      <c r="B222">
        <v>2025</v>
      </c>
      <c r="C222" t="s">
        <v>7</v>
      </c>
      <c r="D222" s="1">
        <v>45747</v>
      </c>
      <c r="E222" s="14">
        <v>349</v>
      </c>
      <c r="F222" t="s">
        <v>8</v>
      </c>
      <c r="G222" t="str">
        <f t="shared" si="49"/>
        <v/>
      </c>
      <c r="H222" t="str">
        <f t="shared" si="39"/>
        <v>UAL-2025-Q1</v>
      </c>
      <c r="I222" s="3">
        <f>_xlfn.XLOOKUP(H222,prices!A:A,prices!F:F,"no match")</f>
        <v>94.43</v>
      </c>
      <c r="J222">
        <f>_xlfn.XLOOKUP(A222,current!$A:$A,current!$B:$B,"no match")</f>
        <v>111.38</v>
      </c>
      <c r="K222">
        <f t="shared" si="40"/>
        <v>3695859.3667266755</v>
      </c>
      <c r="L222">
        <f t="shared" si="41"/>
        <v>411644816.26601708</v>
      </c>
      <c r="M222">
        <f t="shared" si="42"/>
        <v>15965703</v>
      </c>
      <c r="N222" t="str">
        <f t="shared" si="43"/>
        <v>SPY-2025-Q1</v>
      </c>
      <c r="O222">
        <f>_xlfn.XLOOKUP(N222,prices!$A:$A,prices!$F:$F,"no match")</f>
        <v>578.08000000000004</v>
      </c>
      <c r="P222">
        <f t="shared" si="44"/>
        <v>603722.66814281757</v>
      </c>
      <c r="Q222">
        <f>IF(P222="","",P222*assumptions!$B$4)</f>
        <v>464981161.77691668</v>
      </c>
      <c r="R222" s="10">
        <f t="shared" ca="1" si="45"/>
        <v>1.4401095140314852</v>
      </c>
      <c r="S222">
        <f ca="1">IF(E222="","",E222*1000000*(1+assumptions!$B$3)^R222)</f>
        <v>369023939.09490502</v>
      </c>
      <c r="T222">
        <f t="shared" si="46"/>
        <v>1</v>
      </c>
      <c r="U222">
        <f t="shared" si="50"/>
        <v>28</v>
      </c>
      <c r="V222">
        <f t="shared" si="51"/>
        <v>348.21428571428572</v>
      </c>
      <c r="W222">
        <f t="shared" si="47"/>
        <v>3687538.7664331854</v>
      </c>
      <c r="X222">
        <f t="shared" si="48"/>
        <v>410718067.80532819</v>
      </c>
    </row>
    <row r="223" spans="1:24" x14ac:dyDescent="0.2">
      <c r="A223" t="s">
        <v>17</v>
      </c>
      <c r="B223">
        <v>2025</v>
      </c>
      <c r="C223" t="s">
        <v>9</v>
      </c>
      <c r="D223" s="1">
        <v>45838</v>
      </c>
      <c r="E223" s="14">
        <v>240</v>
      </c>
      <c r="F223" t="s">
        <v>8</v>
      </c>
      <c r="G223" t="str">
        <f t="shared" si="49"/>
        <v/>
      </c>
      <c r="H223" t="str">
        <f t="shared" si="39"/>
        <v>UAL-2025-Q2</v>
      </c>
      <c r="I223" s="3">
        <f>_xlfn.XLOOKUP(H223,prices!A:A,prices!F:F,"no match")</f>
        <v>73.67</v>
      </c>
      <c r="J223">
        <f>_xlfn.XLOOKUP(A223,current!$A:$A,current!$B:$B,"no match")</f>
        <v>111.38</v>
      </c>
      <c r="K223">
        <f t="shared" si="40"/>
        <v>3257771.1415773043</v>
      </c>
      <c r="L223">
        <f t="shared" si="41"/>
        <v>362850549.74888015</v>
      </c>
      <c r="M223">
        <f t="shared" si="42"/>
        <v>11001120</v>
      </c>
      <c r="N223" t="str">
        <f t="shared" si="43"/>
        <v>SPY-2025-Q2</v>
      </c>
      <c r="O223">
        <f>_xlfn.XLOOKUP(N223,prices!$A:$A,prices!$F:$F,"no match")</f>
        <v>563.91</v>
      </c>
      <c r="P223">
        <f t="shared" si="44"/>
        <v>425599.8297600681</v>
      </c>
      <c r="Q223">
        <f>IF(P223="","",P223*assumptions!$B$4)</f>
        <v>327792732.88290685</v>
      </c>
      <c r="R223" s="10">
        <f t="shared" ca="1" si="45"/>
        <v>1.1909650924024642</v>
      </c>
      <c r="S223">
        <f ca="1">IF(E223="","",E223*1000000*(1+assumptions!$B$3)^R223)</f>
        <v>251332485.64073303</v>
      </c>
      <c r="T223">
        <f t="shared" si="46"/>
        <v>1</v>
      </c>
      <c r="U223">
        <f t="shared" si="50"/>
        <v>28</v>
      </c>
      <c r="V223">
        <f t="shared" si="51"/>
        <v>348.21428571428572</v>
      </c>
      <c r="W223">
        <f t="shared" si="47"/>
        <v>4726676.8795206426</v>
      </c>
      <c r="X223">
        <f t="shared" si="48"/>
        <v>526457270.84100914</v>
      </c>
    </row>
    <row r="224" spans="1:24" x14ac:dyDescent="0.2">
      <c r="A224" t="s">
        <v>17</v>
      </c>
      <c r="B224">
        <v>2025</v>
      </c>
      <c r="C224" t="s">
        <v>10</v>
      </c>
      <c r="D224" s="1">
        <v>45930</v>
      </c>
      <c r="E224" s="14">
        <v>21</v>
      </c>
      <c r="F224" t="s">
        <v>8</v>
      </c>
      <c r="G224" t="str">
        <f t="shared" si="49"/>
        <v/>
      </c>
      <c r="H224" t="str">
        <f t="shared" si="39"/>
        <v>UAL-2025-Q3</v>
      </c>
      <c r="I224" s="3">
        <f>_xlfn.XLOOKUP(H224,prices!A:A,prices!F:F,"no match")</f>
        <v>96.17</v>
      </c>
      <c r="J224">
        <f>_xlfn.XLOOKUP(A224,current!$A:$A,current!$B:$B,"no match")</f>
        <v>111.38</v>
      </c>
      <c r="K224">
        <f t="shared" si="40"/>
        <v>218363.31496308619</v>
      </c>
      <c r="L224">
        <f t="shared" si="41"/>
        <v>24321306.02058854</v>
      </c>
      <c r="M224">
        <f t="shared" si="42"/>
        <v>964530</v>
      </c>
      <c r="N224" t="str">
        <f t="shared" si="43"/>
        <v>SPY-2025-Q3</v>
      </c>
      <c r="O224">
        <f>_xlfn.XLOOKUP(N224,prices!$A:$A,prices!$F:$F,"no match")</f>
        <v>634.23</v>
      </c>
      <c r="P224">
        <f t="shared" si="44"/>
        <v>33111.016508206798</v>
      </c>
      <c r="Q224">
        <f>IF(P224="","",P224*assumptions!$B$4)</f>
        <v>25501773.804455794</v>
      </c>
      <c r="R224" s="10">
        <f t="shared" ca="1" si="45"/>
        <v>0.93908281998631071</v>
      </c>
      <c r="S224">
        <f ca="1">IF(E224="","",E224*1000000*(1+assumptions!$B$3)^R224)</f>
        <v>21778044.841389462</v>
      </c>
      <c r="T224">
        <f t="shared" si="46"/>
        <v>1</v>
      </c>
      <c r="U224">
        <f t="shared" si="50"/>
        <v>28</v>
      </c>
      <c r="V224">
        <f t="shared" si="51"/>
        <v>348.21428571428572</v>
      </c>
      <c r="W224">
        <f t="shared" si="47"/>
        <v>3620820.2736226032</v>
      </c>
      <c r="X224">
        <f t="shared" si="48"/>
        <v>403286962.07608551</v>
      </c>
    </row>
    <row r="225" spans="1:24" x14ac:dyDescent="0.2">
      <c r="A225" t="s">
        <v>17</v>
      </c>
      <c r="B225">
        <v>2025</v>
      </c>
      <c r="C225" t="s">
        <v>11</v>
      </c>
      <c r="D225" s="1">
        <v>46022</v>
      </c>
      <c r="E225" s="14">
        <v>27</v>
      </c>
      <c r="F225" t="s">
        <v>8</v>
      </c>
      <c r="G225" t="str">
        <f t="shared" si="49"/>
        <v/>
      </c>
      <c r="H225" t="str">
        <f t="shared" si="39"/>
        <v>UAL-2025-Q4</v>
      </c>
      <c r="I225" s="3">
        <f>_xlfn.XLOOKUP(H225,prices!A:A,prices!F:F,"no match")</f>
        <v>101.05</v>
      </c>
      <c r="J225">
        <f>_xlfn.XLOOKUP(A225,current!$A:$A,current!$B:$B,"no match")</f>
        <v>111.38</v>
      </c>
      <c r="K225">
        <f t="shared" si="40"/>
        <v>267194.45818901533</v>
      </c>
      <c r="L225">
        <f t="shared" si="41"/>
        <v>29760118.753092527</v>
      </c>
      <c r="M225">
        <f t="shared" si="42"/>
        <v>1242594</v>
      </c>
      <c r="N225" t="str">
        <f t="shared" si="43"/>
        <v>SPY-2025-Q4</v>
      </c>
      <c r="O225">
        <f>_xlfn.XLOOKUP(N225,prices!$A:$A,prices!$F:$F,"no match")</f>
        <v>670.58</v>
      </c>
      <c r="P225">
        <f t="shared" si="44"/>
        <v>40263.65236064302</v>
      </c>
      <c r="Q225">
        <f>IF(P225="","",P225*assumptions!$B$4)</f>
        <v>31010662.41164365</v>
      </c>
      <c r="R225" s="10">
        <f t="shared" ca="1" si="45"/>
        <v>0.68720054757015747</v>
      </c>
      <c r="S225">
        <f ca="1">IF(E225="","",E225*1000000*(1+assumptions!$B$3)^R225)</f>
        <v>27728448.206294719</v>
      </c>
      <c r="T225">
        <f t="shared" si="46"/>
        <v>1</v>
      </c>
      <c r="U225">
        <f t="shared" si="50"/>
        <v>28</v>
      </c>
      <c r="V225">
        <f t="shared" si="51"/>
        <v>348.21428571428572</v>
      </c>
      <c r="W225">
        <f t="shared" si="47"/>
        <v>3445960.2742630951</v>
      </c>
      <c r="X225">
        <f t="shared" si="48"/>
        <v>383811055.34742349</v>
      </c>
    </row>
    <row r="226" spans="1:24" x14ac:dyDescent="0.2">
      <c r="A226" t="s">
        <v>17</v>
      </c>
      <c r="B226">
        <v>2026</v>
      </c>
      <c r="C226" t="s">
        <v>7</v>
      </c>
      <c r="D226" s="1">
        <v>46112</v>
      </c>
      <c r="E226" s="14">
        <v>27</v>
      </c>
      <c r="F226" t="s">
        <v>8</v>
      </c>
      <c r="G226" t="str">
        <f t="shared" si="49"/>
        <v/>
      </c>
      <c r="H226" t="str">
        <f t="shared" si="39"/>
        <v>UAL-2026-Q1</v>
      </c>
      <c r="I226" s="3">
        <f>_xlfn.XLOOKUP(H226,prices!A:A,prices!F:F,"no match")</f>
        <v>104.78</v>
      </c>
      <c r="J226">
        <f>_xlfn.XLOOKUP(A226,current!$A:$A,current!$B:$B,"no match")</f>
        <v>111.38</v>
      </c>
      <c r="K226">
        <f t="shared" si="40"/>
        <v>257682.76388623784</v>
      </c>
      <c r="L226">
        <f t="shared" si="41"/>
        <v>28700706.241649169</v>
      </c>
      <c r="M226">
        <f t="shared" si="42"/>
        <v>1245024</v>
      </c>
      <c r="N226" t="str">
        <f t="shared" si="43"/>
        <v>SPY-2026-Q1</v>
      </c>
      <c r="O226">
        <f>_xlfn.XLOOKUP(N226,prices!$A:$A,prices!$F:$F,"no match")</f>
        <v>676.53</v>
      </c>
      <c r="P226">
        <f t="shared" si="44"/>
        <v>39909.53837967274</v>
      </c>
      <c r="Q226">
        <f>IF(P226="","",P226*assumptions!$B$4)</f>
        <v>30737927.36464015</v>
      </c>
      <c r="R226" s="10">
        <f t="shared" ca="1" si="45"/>
        <v>0.44079397672826831</v>
      </c>
      <c r="S226">
        <f ca="1">IF(E226="","",E226*1000000*(1+assumptions!$B$3)^R226)</f>
        <v>27465018.736379314</v>
      </c>
      <c r="T226">
        <f t="shared" si="46"/>
        <v>1</v>
      </c>
      <c r="U226">
        <f t="shared" si="50"/>
        <v>28</v>
      </c>
      <c r="V226">
        <f t="shared" si="51"/>
        <v>348.21428571428572</v>
      </c>
      <c r="W226">
        <f t="shared" si="47"/>
        <v>3323289.6136121945</v>
      </c>
      <c r="X226">
        <f t="shared" si="48"/>
        <v>370147997.16412622</v>
      </c>
    </row>
    <row r="227" spans="1:24" x14ac:dyDescent="0.2">
      <c r="A227" t="s">
        <v>17</v>
      </c>
      <c r="B227">
        <v>2026</v>
      </c>
      <c r="C227" t="s">
        <v>9</v>
      </c>
      <c r="D227" s="1">
        <v>46203</v>
      </c>
      <c r="E227" s="14">
        <v>0</v>
      </c>
      <c r="F227" t="s">
        <v>8</v>
      </c>
      <c r="G227" t="str">
        <f t="shared" si="49"/>
        <v/>
      </c>
      <c r="H227" t="str">
        <f t="shared" si="39"/>
        <v>UAL-2026-Q2</v>
      </c>
      <c r="I227" s="3">
        <f>_xlfn.XLOOKUP(H227,prices!A:A,prices!F:F,"no match")</f>
        <v>103.58</v>
      </c>
      <c r="J227">
        <f>_xlfn.XLOOKUP(A227,current!$A:$A,current!$B:$B,"no match")</f>
        <v>111.38</v>
      </c>
      <c r="K227">
        <f t="shared" si="40"/>
        <v>0</v>
      </c>
      <c r="L227">
        <f t="shared" si="41"/>
        <v>0</v>
      </c>
      <c r="M227">
        <f t="shared" si="42"/>
        <v>0</v>
      </c>
      <c r="N227" t="str">
        <f t="shared" si="43"/>
        <v>SPY-2026-Q2</v>
      </c>
      <c r="O227">
        <f>_xlfn.XLOOKUP(N227,prices!$A:$A,prices!$F:$F,"no match")</f>
        <v>723.39</v>
      </c>
      <c r="P227">
        <f t="shared" si="44"/>
        <v>0</v>
      </c>
      <c r="Q227">
        <f>IF(P227="","",P227*assumptions!$B$4)</f>
        <v>0</v>
      </c>
      <c r="R227" s="10">
        <f t="shared" ca="1" si="45"/>
        <v>0.19164955509924708</v>
      </c>
      <c r="S227">
        <f ca="1">IF(E227="","",E227*1000000*(1+assumptions!$B$3)^R227)</f>
        <v>0</v>
      </c>
      <c r="T227">
        <f t="shared" si="46"/>
        <v>0</v>
      </c>
      <c r="U227">
        <f t="shared" si="50"/>
        <v>28</v>
      </c>
      <c r="V227">
        <f t="shared" si="51"/>
        <v>0</v>
      </c>
      <c r="W227">
        <f t="shared" si="47"/>
        <v>0</v>
      </c>
      <c r="X227">
        <f t="shared" si="48"/>
        <v>0</v>
      </c>
    </row>
    <row r="228" spans="1:24" x14ac:dyDescent="0.2">
      <c r="A228" t="s">
        <v>6</v>
      </c>
      <c r="B228">
        <v>2023</v>
      </c>
      <c r="C228" t="s">
        <v>7</v>
      </c>
      <c r="D228" s="1">
        <v>45016</v>
      </c>
      <c r="E228" s="14">
        <v>0</v>
      </c>
      <c r="F228" t="s">
        <v>405</v>
      </c>
      <c r="G228" t="str">
        <f t="shared" ref="G228:G259" si="52">IF(F228&lt;&gt;"missing","",IF(D228&gt;DATE(2026,6,30),"not yet filed","no repurchases reported"))</f>
        <v/>
      </c>
      <c r="H228" t="str">
        <f t="shared" ref="H228:H259" si="53">A228&amp;"-"&amp;B228&amp;"-"&amp;C228</f>
        <v>AAL-2023-Q1</v>
      </c>
      <c r="I228" s="3">
        <f>_xlfn.XLOOKUP(H228,prices!A:A,prices!F:F,"no match")</f>
        <v>15.59</v>
      </c>
      <c r="J228">
        <f>_xlfn.XLOOKUP(A228,current!$A:$A,current!$B:$B,"no match")</f>
        <v>13.13</v>
      </c>
      <c r="K228">
        <f t="shared" ref="K228:K259" si="54">IF(E228="","",E228*1000000/I228)</f>
        <v>0</v>
      </c>
      <c r="L228">
        <f t="shared" ref="L228:L259" si="55">IF(K228="","",K228*J228)</f>
        <v>0</v>
      </c>
      <c r="M228">
        <f t="shared" ref="M228:M259" si="56">IF(E228="","",E228*D228)</f>
        <v>0</v>
      </c>
      <c r="N228" t="str">
        <f t="shared" ref="N228:N259" si="57">"SPY-"&amp;B228&amp;"-"&amp;C228</f>
        <v>SPY-2023-Q1</v>
      </c>
      <c r="O228">
        <f>_xlfn.XLOOKUP(N228,prices!$A:$A,prices!$F:$F,"no match")</f>
        <v>381.76</v>
      </c>
      <c r="P228">
        <f t="shared" ref="P228:P259" si="58">IF(E228="","",E228*1000000/O228)</f>
        <v>0</v>
      </c>
      <c r="Q228">
        <f>IF(P228="","",P228*assumptions!$B$4)</f>
        <v>0</v>
      </c>
      <c r="R228" s="10">
        <f t="shared" ref="R228:R259" ca="1" si="59">IF(E228="","",(TODAY()-D228)/365.25)</f>
        <v>3.4414784394250515</v>
      </c>
      <c r="S228">
        <f ca="1">IF(E228="","",E228*1000000*(1+assumptions!$B$3)^R228)</f>
        <v>0</v>
      </c>
      <c r="T228">
        <f t="shared" ref="T228:T259" si="60">IF(E228="",0,IF(E228&gt;0,1,0))</f>
        <v>0</v>
      </c>
      <c r="U228">
        <f t="shared" si="50"/>
        <v>23</v>
      </c>
      <c r="V228">
        <f t="shared" si="51"/>
        <v>0</v>
      </c>
      <c r="W228">
        <f t="shared" ref="W228:W259" si="61">IF(V228=0,0,V228*1000000/I228)</f>
        <v>0</v>
      </c>
      <c r="X228">
        <f t="shared" ref="X228:X259" si="62">IF(W228=0,0,W228*J228)</f>
        <v>0</v>
      </c>
    </row>
    <row r="229" spans="1:24" x14ac:dyDescent="0.2">
      <c r="A229" t="s">
        <v>6</v>
      </c>
      <c r="B229">
        <v>2023</v>
      </c>
      <c r="C229" t="s">
        <v>9</v>
      </c>
      <c r="D229" s="1">
        <v>45107</v>
      </c>
      <c r="E229" s="14">
        <v>0</v>
      </c>
      <c r="F229" t="s">
        <v>405</v>
      </c>
      <c r="G229" t="str">
        <f t="shared" si="52"/>
        <v/>
      </c>
      <c r="H229" t="str">
        <f t="shared" si="53"/>
        <v>AAL-2023-Q2</v>
      </c>
      <c r="I229" s="3">
        <f>_xlfn.XLOOKUP(H229,prices!A:A,prices!F:F,"no match")</f>
        <v>14.66</v>
      </c>
      <c r="J229">
        <f>_xlfn.XLOOKUP(A229,current!$A:$A,current!$B:$B,"no match")</f>
        <v>13.13</v>
      </c>
      <c r="K229">
        <f t="shared" si="54"/>
        <v>0</v>
      </c>
      <c r="L229">
        <f t="shared" si="55"/>
        <v>0</v>
      </c>
      <c r="M229">
        <f t="shared" si="56"/>
        <v>0</v>
      </c>
      <c r="N229" t="str">
        <f t="shared" si="57"/>
        <v>SPY-2023-Q2</v>
      </c>
      <c r="O229">
        <f>_xlfn.XLOOKUP(N229,prices!$A:$A,prices!$F:$F,"no match")</f>
        <v>403.08</v>
      </c>
      <c r="P229">
        <f t="shared" si="58"/>
        <v>0</v>
      </c>
      <c r="Q229">
        <f>IF(P229="","",P229*assumptions!$B$4)</f>
        <v>0</v>
      </c>
      <c r="R229" s="10">
        <f t="shared" ca="1" si="59"/>
        <v>3.1923340177960302</v>
      </c>
      <c r="S229">
        <f ca="1">IF(E229="","",E229*1000000*(1+assumptions!$B$3)^R229)</f>
        <v>0</v>
      </c>
      <c r="T229">
        <f t="shared" si="60"/>
        <v>0</v>
      </c>
      <c r="U229">
        <f t="shared" si="50"/>
        <v>23</v>
      </c>
      <c r="V229">
        <f t="shared" si="51"/>
        <v>0</v>
      </c>
      <c r="W229">
        <f t="shared" si="61"/>
        <v>0</v>
      </c>
      <c r="X229">
        <f t="shared" si="62"/>
        <v>0</v>
      </c>
    </row>
    <row r="230" spans="1:24" x14ac:dyDescent="0.2">
      <c r="A230" t="s">
        <v>6</v>
      </c>
      <c r="B230">
        <v>2023</v>
      </c>
      <c r="C230" t="s">
        <v>10</v>
      </c>
      <c r="D230" s="1">
        <v>45199</v>
      </c>
      <c r="E230" s="14">
        <v>0</v>
      </c>
      <c r="F230" t="s">
        <v>405</v>
      </c>
      <c r="G230" t="str">
        <f t="shared" si="52"/>
        <v/>
      </c>
      <c r="H230" t="str">
        <f t="shared" si="53"/>
        <v>AAL-2023-Q3</v>
      </c>
      <c r="I230" s="3">
        <f>_xlfn.XLOOKUP(H230,prices!A:A,prices!F:F,"no match")</f>
        <v>15.52</v>
      </c>
      <c r="J230">
        <f>_xlfn.XLOOKUP(A230,current!$A:$A,current!$B:$B,"no match")</f>
        <v>13.13</v>
      </c>
      <c r="K230">
        <f t="shared" si="54"/>
        <v>0</v>
      </c>
      <c r="L230">
        <f t="shared" si="55"/>
        <v>0</v>
      </c>
      <c r="M230">
        <f t="shared" si="56"/>
        <v>0</v>
      </c>
      <c r="N230" t="str">
        <f t="shared" si="57"/>
        <v>SPY-2023-Q3</v>
      </c>
      <c r="O230">
        <f>_xlfn.XLOOKUP(N230,prices!$A:$A,prices!$F:$F,"no match")</f>
        <v>428.75</v>
      </c>
      <c r="P230">
        <f t="shared" si="58"/>
        <v>0</v>
      </c>
      <c r="Q230">
        <f>IF(P230="","",P230*assumptions!$B$4)</f>
        <v>0</v>
      </c>
      <c r="R230" s="10">
        <f t="shared" ca="1" si="59"/>
        <v>2.9404517453798769</v>
      </c>
      <c r="S230">
        <f ca="1">IF(E230="","",E230*1000000*(1+assumptions!$B$3)^R230)</f>
        <v>0</v>
      </c>
      <c r="T230">
        <f t="shared" si="60"/>
        <v>0</v>
      </c>
      <c r="U230">
        <f t="shared" si="50"/>
        <v>23</v>
      </c>
      <c r="V230">
        <f t="shared" si="51"/>
        <v>0</v>
      </c>
      <c r="W230">
        <f t="shared" si="61"/>
        <v>0</v>
      </c>
      <c r="X230">
        <f t="shared" si="62"/>
        <v>0</v>
      </c>
    </row>
    <row r="231" spans="1:24" x14ac:dyDescent="0.2">
      <c r="A231" t="s">
        <v>6</v>
      </c>
      <c r="B231">
        <v>2023</v>
      </c>
      <c r="C231" t="s">
        <v>11</v>
      </c>
      <c r="D231" s="1">
        <v>45291</v>
      </c>
      <c r="E231">
        <v>0</v>
      </c>
      <c r="F231" t="s">
        <v>405</v>
      </c>
      <c r="G231" t="str">
        <f t="shared" si="52"/>
        <v/>
      </c>
      <c r="H231" t="str">
        <f t="shared" si="53"/>
        <v>AAL-2023-Q4</v>
      </c>
      <c r="I231" s="3">
        <f>_xlfn.XLOOKUP(H231,prices!A:A,prices!F:F,"no match")</f>
        <v>12.56</v>
      </c>
      <c r="J231">
        <f>_xlfn.XLOOKUP(A231,current!$A:$A,current!$B:$B,"no match")</f>
        <v>13.13</v>
      </c>
      <c r="K231">
        <f t="shared" si="54"/>
        <v>0</v>
      </c>
      <c r="L231">
        <f t="shared" si="55"/>
        <v>0</v>
      </c>
      <c r="M231">
        <f t="shared" si="56"/>
        <v>0</v>
      </c>
      <c r="N231" t="str">
        <f t="shared" si="57"/>
        <v>SPY-2023-Q4</v>
      </c>
      <c r="O231">
        <f>_xlfn.XLOOKUP(N231,prices!$A:$A,prices!$F:$F,"no match")</f>
        <v>430.96</v>
      </c>
      <c r="P231">
        <f t="shared" si="58"/>
        <v>0</v>
      </c>
      <c r="Q231">
        <f>IF(P231="","",P231*assumptions!$B$4)</f>
        <v>0</v>
      </c>
      <c r="R231" s="10">
        <f t="shared" ca="1" si="59"/>
        <v>2.6885694729637235</v>
      </c>
      <c r="S231">
        <f ca="1">IF(E231="","",E231*1000000*(1+assumptions!$B$3)^R231)</f>
        <v>0</v>
      </c>
      <c r="T231">
        <f t="shared" si="60"/>
        <v>0</v>
      </c>
      <c r="U231">
        <f t="shared" si="50"/>
        <v>23</v>
      </c>
      <c r="V231">
        <f t="shared" si="51"/>
        <v>0</v>
      </c>
      <c r="W231">
        <f t="shared" si="61"/>
        <v>0</v>
      </c>
      <c r="X231">
        <f t="shared" si="62"/>
        <v>0</v>
      </c>
    </row>
    <row r="232" spans="1:24" x14ac:dyDescent="0.2">
      <c r="A232" t="s">
        <v>6</v>
      </c>
      <c r="B232">
        <v>2024</v>
      </c>
      <c r="C232" t="s">
        <v>7</v>
      </c>
      <c r="D232" s="1">
        <v>45382</v>
      </c>
      <c r="E232">
        <v>0</v>
      </c>
      <c r="F232" t="s">
        <v>405</v>
      </c>
      <c r="G232" t="str">
        <f t="shared" si="52"/>
        <v/>
      </c>
      <c r="H232" t="str">
        <f t="shared" si="53"/>
        <v>AAL-2024-Q1</v>
      </c>
      <c r="I232" s="3">
        <f>_xlfn.XLOOKUP(H232,prices!A:A,prices!F:F,"no match")</f>
        <v>14.51</v>
      </c>
      <c r="J232">
        <f>_xlfn.XLOOKUP(A232,current!$A:$A,current!$B:$B,"no match")</f>
        <v>13.13</v>
      </c>
      <c r="K232">
        <f t="shared" si="54"/>
        <v>0</v>
      </c>
      <c r="L232">
        <f t="shared" si="55"/>
        <v>0</v>
      </c>
      <c r="M232">
        <f t="shared" si="56"/>
        <v>0</v>
      </c>
      <c r="N232" t="str">
        <f t="shared" si="57"/>
        <v>SPY-2024-Q1</v>
      </c>
      <c r="O232">
        <f>_xlfn.XLOOKUP(N232,prices!$A:$A,prices!$F:$F,"no match")</f>
        <v>483.53</v>
      </c>
      <c r="P232">
        <f t="shared" si="58"/>
        <v>0</v>
      </c>
      <c r="Q232">
        <f>IF(P232="","",P232*assumptions!$B$4)</f>
        <v>0</v>
      </c>
      <c r="R232" s="10">
        <f t="shared" ca="1" si="59"/>
        <v>2.4394250513347022</v>
      </c>
      <c r="S232">
        <f ca="1">IF(E232="","",E232*1000000*(1+assumptions!$B$3)^R232)</f>
        <v>0</v>
      </c>
      <c r="T232">
        <f t="shared" si="60"/>
        <v>0</v>
      </c>
      <c r="U232">
        <f t="shared" si="50"/>
        <v>23</v>
      </c>
      <c r="V232">
        <f t="shared" si="51"/>
        <v>0</v>
      </c>
      <c r="W232">
        <f t="shared" si="61"/>
        <v>0</v>
      </c>
      <c r="X232">
        <f t="shared" si="62"/>
        <v>0</v>
      </c>
    </row>
    <row r="233" spans="1:24" x14ac:dyDescent="0.2">
      <c r="A233" t="s">
        <v>6</v>
      </c>
      <c r="B233">
        <v>2024</v>
      </c>
      <c r="C233" t="s">
        <v>9</v>
      </c>
      <c r="D233" s="1">
        <v>45473</v>
      </c>
      <c r="E233">
        <v>0</v>
      </c>
      <c r="F233" t="s">
        <v>405</v>
      </c>
      <c r="G233" t="str">
        <f t="shared" si="52"/>
        <v/>
      </c>
      <c r="H233" t="str">
        <f t="shared" si="53"/>
        <v>AAL-2024-Q2</v>
      </c>
      <c r="I233" s="3">
        <f>_xlfn.XLOOKUP(H233,prices!A:A,prices!F:F,"no match")</f>
        <v>13.14</v>
      </c>
      <c r="J233">
        <f>_xlfn.XLOOKUP(A233,current!$A:$A,current!$B:$B,"no match")</f>
        <v>13.13</v>
      </c>
      <c r="K233">
        <f t="shared" si="54"/>
        <v>0</v>
      </c>
      <c r="L233">
        <f t="shared" si="55"/>
        <v>0</v>
      </c>
      <c r="M233">
        <f t="shared" si="56"/>
        <v>0</v>
      </c>
      <c r="N233" t="str">
        <f t="shared" si="57"/>
        <v>SPY-2024-Q2</v>
      </c>
      <c r="O233">
        <f>_xlfn.XLOOKUP(N233,prices!$A:$A,prices!$F:$F,"no match")</f>
        <v>509.8</v>
      </c>
      <c r="P233">
        <f t="shared" si="58"/>
        <v>0</v>
      </c>
      <c r="Q233">
        <f>IF(P233="","",P233*assumptions!$B$4)</f>
        <v>0</v>
      </c>
      <c r="R233" s="10">
        <f t="shared" ca="1" si="59"/>
        <v>2.1902806297056809</v>
      </c>
      <c r="S233">
        <f ca="1">IF(E233="","",E233*1000000*(1+assumptions!$B$3)^R233)</f>
        <v>0</v>
      </c>
      <c r="T233">
        <f t="shared" si="60"/>
        <v>0</v>
      </c>
      <c r="U233">
        <f t="shared" si="50"/>
        <v>23</v>
      </c>
      <c r="V233">
        <f t="shared" si="51"/>
        <v>0</v>
      </c>
      <c r="W233">
        <f t="shared" si="61"/>
        <v>0</v>
      </c>
      <c r="X233">
        <f t="shared" si="62"/>
        <v>0</v>
      </c>
    </row>
    <row r="234" spans="1:24" x14ac:dyDescent="0.2">
      <c r="A234" t="s">
        <v>6</v>
      </c>
      <c r="B234">
        <v>2024</v>
      </c>
      <c r="C234" t="s">
        <v>10</v>
      </c>
      <c r="D234" s="1">
        <v>45565</v>
      </c>
      <c r="E234">
        <v>0</v>
      </c>
      <c r="F234" t="s">
        <v>405</v>
      </c>
      <c r="G234" t="str">
        <f t="shared" si="52"/>
        <v/>
      </c>
      <c r="H234" t="str">
        <f t="shared" si="53"/>
        <v>AAL-2024-Q3</v>
      </c>
      <c r="I234" s="3">
        <f>_xlfn.XLOOKUP(H234,prices!A:A,prices!F:F,"no match")</f>
        <v>10.58</v>
      </c>
      <c r="J234">
        <f>_xlfn.XLOOKUP(A234,current!$A:$A,current!$B:$B,"no match")</f>
        <v>13.13</v>
      </c>
      <c r="K234">
        <f t="shared" si="54"/>
        <v>0</v>
      </c>
      <c r="L234">
        <f t="shared" si="55"/>
        <v>0</v>
      </c>
      <c r="M234">
        <f t="shared" si="56"/>
        <v>0</v>
      </c>
      <c r="N234" t="str">
        <f t="shared" si="57"/>
        <v>SPY-2024-Q3</v>
      </c>
      <c r="O234">
        <f>_xlfn.XLOOKUP(N234,prices!$A:$A,prices!$F:$F,"no match")</f>
        <v>540.33000000000004</v>
      </c>
      <c r="P234">
        <f t="shared" si="58"/>
        <v>0</v>
      </c>
      <c r="Q234">
        <f>IF(P234="","",P234*assumptions!$B$4)</f>
        <v>0</v>
      </c>
      <c r="R234" s="10">
        <f t="shared" ca="1" si="59"/>
        <v>1.9383983572895278</v>
      </c>
      <c r="S234">
        <f ca="1">IF(E234="","",E234*1000000*(1+assumptions!$B$3)^R234)</f>
        <v>0</v>
      </c>
      <c r="T234">
        <f t="shared" si="60"/>
        <v>0</v>
      </c>
      <c r="U234">
        <f t="shared" si="50"/>
        <v>23</v>
      </c>
      <c r="V234">
        <f t="shared" si="51"/>
        <v>0</v>
      </c>
      <c r="W234">
        <f t="shared" si="61"/>
        <v>0</v>
      </c>
      <c r="X234">
        <f t="shared" si="62"/>
        <v>0</v>
      </c>
    </row>
    <row r="235" spans="1:24" x14ac:dyDescent="0.2">
      <c r="A235" t="s">
        <v>6</v>
      </c>
      <c r="B235">
        <v>2024</v>
      </c>
      <c r="C235" t="s">
        <v>11</v>
      </c>
      <c r="D235" s="1">
        <v>45657</v>
      </c>
      <c r="E235">
        <v>0</v>
      </c>
      <c r="F235" t="s">
        <v>405</v>
      </c>
      <c r="G235" t="str">
        <f t="shared" si="52"/>
        <v/>
      </c>
      <c r="H235" t="str">
        <f t="shared" si="53"/>
        <v>AAL-2024-Q4</v>
      </c>
      <c r="I235" s="3">
        <f>_xlfn.XLOOKUP(H235,prices!A:A,prices!F:F,"no match")</f>
        <v>14.38</v>
      </c>
      <c r="J235">
        <f>_xlfn.XLOOKUP(A235,current!$A:$A,current!$B:$B,"no match")</f>
        <v>13.13</v>
      </c>
      <c r="K235">
        <f t="shared" si="54"/>
        <v>0</v>
      </c>
      <c r="L235">
        <f t="shared" si="55"/>
        <v>0</v>
      </c>
      <c r="M235">
        <f t="shared" si="56"/>
        <v>0</v>
      </c>
      <c r="N235" t="str">
        <f t="shared" si="57"/>
        <v>SPY-2024-Q4</v>
      </c>
      <c r="O235">
        <f>_xlfn.XLOOKUP(N235,prices!$A:$A,prices!$F:$F,"no match")</f>
        <v>577.52</v>
      </c>
      <c r="P235">
        <f t="shared" si="58"/>
        <v>0</v>
      </c>
      <c r="Q235">
        <f>IF(P235="","",P235*assumptions!$B$4)</f>
        <v>0</v>
      </c>
      <c r="R235" s="10">
        <f t="shared" ca="1" si="59"/>
        <v>1.6865160848733745</v>
      </c>
      <c r="S235">
        <f ca="1">IF(E235="","",E235*1000000*(1+assumptions!$B$3)^R235)</f>
        <v>0</v>
      </c>
      <c r="T235">
        <f t="shared" si="60"/>
        <v>0</v>
      </c>
      <c r="U235">
        <f t="shared" si="50"/>
        <v>23</v>
      </c>
      <c r="V235">
        <f t="shared" si="51"/>
        <v>0</v>
      </c>
      <c r="W235">
        <f t="shared" si="61"/>
        <v>0</v>
      </c>
      <c r="X235">
        <f t="shared" si="62"/>
        <v>0</v>
      </c>
    </row>
    <row r="236" spans="1:24" x14ac:dyDescent="0.2">
      <c r="A236" t="s">
        <v>6</v>
      </c>
      <c r="B236">
        <v>2025</v>
      </c>
      <c r="C236" t="s">
        <v>7</v>
      </c>
      <c r="D236" s="1">
        <v>45747</v>
      </c>
      <c r="E236">
        <v>0</v>
      </c>
      <c r="F236" t="s">
        <v>405</v>
      </c>
      <c r="G236" t="str">
        <f t="shared" si="52"/>
        <v/>
      </c>
      <c r="H236" t="str">
        <f t="shared" si="53"/>
        <v>AAL-2025-Q1</v>
      </c>
      <c r="I236" s="3">
        <f>_xlfn.XLOOKUP(H236,prices!A:A,prices!F:F,"no match")</f>
        <v>15.06</v>
      </c>
      <c r="J236">
        <f>_xlfn.XLOOKUP(A236,current!$A:$A,current!$B:$B,"no match")</f>
        <v>13.13</v>
      </c>
      <c r="K236">
        <f t="shared" si="54"/>
        <v>0</v>
      </c>
      <c r="L236">
        <f t="shared" si="55"/>
        <v>0</v>
      </c>
      <c r="M236">
        <f t="shared" si="56"/>
        <v>0</v>
      </c>
      <c r="N236" t="str">
        <f t="shared" si="57"/>
        <v>SPY-2025-Q1</v>
      </c>
      <c r="O236">
        <f>_xlfn.XLOOKUP(N236,prices!$A:$A,prices!$F:$F,"no match")</f>
        <v>578.08000000000004</v>
      </c>
      <c r="P236">
        <f t="shared" si="58"/>
        <v>0</v>
      </c>
      <c r="Q236">
        <f>IF(P236="","",P236*assumptions!$B$4)</f>
        <v>0</v>
      </c>
      <c r="R236" s="10">
        <f t="shared" ca="1" si="59"/>
        <v>1.4401095140314852</v>
      </c>
      <c r="S236">
        <f ca="1">IF(E236="","",E236*1000000*(1+assumptions!$B$3)^R236)</f>
        <v>0</v>
      </c>
      <c r="T236">
        <f t="shared" si="60"/>
        <v>0</v>
      </c>
      <c r="U236">
        <f t="shared" si="50"/>
        <v>23</v>
      </c>
      <c r="V236">
        <f t="shared" si="51"/>
        <v>0</v>
      </c>
      <c r="W236">
        <f t="shared" si="61"/>
        <v>0</v>
      </c>
      <c r="X236">
        <f t="shared" si="62"/>
        <v>0</v>
      </c>
    </row>
    <row r="237" spans="1:24" x14ac:dyDescent="0.2">
      <c r="A237" t="s">
        <v>6</v>
      </c>
      <c r="B237">
        <v>2025</v>
      </c>
      <c r="C237" t="s">
        <v>9</v>
      </c>
      <c r="D237" s="1">
        <v>45838</v>
      </c>
      <c r="E237">
        <v>0</v>
      </c>
      <c r="F237" t="s">
        <v>405</v>
      </c>
      <c r="G237" t="str">
        <f t="shared" si="52"/>
        <v/>
      </c>
      <c r="H237" t="str">
        <f t="shared" si="53"/>
        <v>AAL-2025-Q2</v>
      </c>
      <c r="I237" s="3">
        <f>_xlfn.XLOOKUP(H237,prices!A:A,prices!F:F,"no match")</f>
        <v>10.71</v>
      </c>
      <c r="J237">
        <f>_xlfn.XLOOKUP(A237,current!$A:$A,current!$B:$B,"no match")</f>
        <v>13.13</v>
      </c>
      <c r="K237">
        <f t="shared" si="54"/>
        <v>0</v>
      </c>
      <c r="L237">
        <f t="shared" si="55"/>
        <v>0</v>
      </c>
      <c r="M237">
        <f t="shared" si="56"/>
        <v>0</v>
      </c>
      <c r="N237" t="str">
        <f t="shared" si="57"/>
        <v>SPY-2025-Q2</v>
      </c>
      <c r="O237">
        <f>_xlfn.XLOOKUP(N237,prices!$A:$A,prices!$F:$F,"no match")</f>
        <v>563.91</v>
      </c>
      <c r="P237">
        <f t="shared" si="58"/>
        <v>0</v>
      </c>
      <c r="Q237">
        <f>IF(P237="","",P237*assumptions!$B$4)</f>
        <v>0</v>
      </c>
      <c r="R237" s="10">
        <f t="shared" ca="1" si="59"/>
        <v>1.1909650924024642</v>
      </c>
      <c r="S237">
        <f ca="1">IF(E237="","",E237*1000000*(1+assumptions!$B$3)^R237)</f>
        <v>0</v>
      </c>
      <c r="T237">
        <f t="shared" si="60"/>
        <v>0</v>
      </c>
      <c r="U237">
        <f t="shared" si="50"/>
        <v>23</v>
      </c>
      <c r="V237">
        <f t="shared" si="51"/>
        <v>0</v>
      </c>
      <c r="W237">
        <f t="shared" si="61"/>
        <v>0</v>
      </c>
      <c r="X237">
        <f t="shared" si="62"/>
        <v>0</v>
      </c>
    </row>
    <row r="238" spans="1:24" x14ac:dyDescent="0.2">
      <c r="A238" t="s">
        <v>6</v>
      </c>
      <c r="B238">
        <v>2025</v>
      </c>
      <c r="C238" t="s">
        <v>10</v>
      </c>
      <c r="D238" s="1">
        <v>45930</v>
      </c>
      <c r="E238">
        <v>0</v>
      </c>
      <c r="F238" t="s">
        <v>405</v>
      </c>
      <c r="G238" t="str">
        <f t="shared" si="52"/>
        <v/>
      </c>
      <c r="H238" t="str">
        <f t="shared" si="53"/>
        <v>AAL-2025-Q3</v>
      </c>
      <c r="I238" s="3">
        <f>_xlfn.XLOOKUP(H238,prices!A:A,prices!F:F,"no match")</f>
        <v>12.32</v>
      </c>
      <c r="J238">
        <f>_xlfn.XLOOKUP(A238,current!$A:$A,current!$B:$B,"no match")</f>
        <v>13.13</v>
      </c>
      <c r="K238">
        <f t="shared" si="54"/>
        <v>0</v>
      </c>
      <c r="L238">
        <f t="shared" si="55"/>
        <v>0</v>
      </c>
      <c r="M238">
        <f t="shared" si="56"/>
        <v>0</v>
      </c>
      <c r="N238" t="str">
        <f t="shared" si="57"/>
        <v>SPY-2025-Q3</v>
      </c>
      <c r="O238">
        <f>_xlfn.XLOOKUP(N238,prices!$A:$A,prices!$F:$F,"no match")</f>
        <v>634.23</v>
      </c>
      <c r="P238">
        <f t="shared" si="58"/>
        <v>0</v>
      </c>
      <c r="Q238">
        <f>IF(P238="","",P238*assumptions!$B$4)</f>
        <v>0</v>
      </c>
      <c r="R238" s="10">
        <f t="shared" ca="1" si="59"/>
        <v>0.93908281998631071</v>
      </c>
      <c r="S238">
        <f ca="1">IF(E238="","",E238*1000000*(1+assumptions!$B$3)^R238)</f>
        <v>0</v>
      </c>
      <c r="T238">
        <f t="shared" si="60"/>
        <v>0</v>
      </c>
      <c r="U238">
        <f t="shared" si="50"/>
        <v>23</v>
      </c>
      <c r="V238">
        <f t="shared" si="51"/>
        <v>0</v>
      </c>
      <c r="W238">
        <f t="shared" si="61"/>
        <v>0</v>
      </c>
      <c r="X238">
        <f t="shared" si="62"/>
        <v>0</v>
      </c>
    </row>
    <row r="239" spans="1:24" x14ac:dyDescent="0.2">
      <c r="A239" t="s">
        <v>6</v>
      </c>
      <c r="B239">
        <v>2025</v>
      </c>
      <c r="C239" t="s">
        <v>11</v>
      </c>
      <c r="D239" s="1">
        <v>46022</v>
      </c>
      <c r="E239">
        <v>0</v>
      </c>
      <c r="F239" t="s">
        <v>405</v>
      </c>
      <c r="G239" t="str">
        <f t="shared" si="52"/>
        <v/>
      </c>
      <c r="H239" t="str">
        <f t="shared" si="53"/>
        <v>AAL-2025-Q4</v>
      </c>
      <c r="I239" s="3">
        <f>_xlfn.XLOOKUP(H239,prices!A:A,prices!F:F,"no match")</f>
        <v>13.49</v>
      </c>
      <c r="J239">
        <f>_xlfn.XLOOKUP(A239,current!$A:$A,current!$B:$B,"no match")</f>
        <v>13.13</v>
      </c>
      <c r="K239">
        <f t="shared" si="54"/>
        <v>0</v>
      </c>
      <c r="L239">
        <f t="shared" si="55"/>
        <v>0</v>
      </c>
      <c r="M239">
        <f t="shared" si="56"/>
        <v>0</v>
      </c>
      <c r="N239" t="str">
        <f t="shared" si="57"/>
        <v>SPY-2025-Q4</v>
      </c>
      <c r="O239">
        <f>_xlfn.XLOOKUP(N239,prices!$A:$A,prices!$F:$F,"no match")</f>
        <v>670.58</v>
      </c>
      <c r="P239">
        <f t="shared" si="58"/>
        <v>0</v>
      </c>
      <c r="Q239">
        <f>IF(P239="","",P239*assumptions!$B$4)</f>
        <v>0</v>
      </c>
      <c r="R239" s="10">
        <f t="shared" ca="1" si="59"/>
        <v>0.68720054757015747</v>
      </c>
      <c r="S239">
        <f ca="1">IF(E239="","",E239*1000000*(1+assumptions!$B$3)^R239)</f>
        <v>0</v>
      </c>
      <c r="T239">
        <f t="shared" si="60"/>
        <v>0</v>
      </c>
      <c r="U239">
        <f t="shared" si="50"/>
        <v>23</v>
      </c>
      <c r="V239">
        <f t="shared" si="51"/>
        <v>0</v>
      </c>
      <c r="W239">
        <f t="shared" si="61"/>
        <v>0</v>
      </c>
      <c r="X239">
        <f t="shared" si="62"/>
        <v>0</v>
      </c>
    </row>
    <row r="240" spans="1:24" x14ac:dyDescent="0.2">
      <c r="A240" t="s">
        <v>6</v>
      </c>
      <c r="B240">
        <v>2026</v>
      </c>
      <c r="C240" t="s">
        <v>7</v>
      </c>
      <c r="D240" s="1">
        <v>46112</v>
      </c>
      <c r="E240">
        <v>0</v>
      </c>
      <c r="F240" t="s">
        <v>405</v>
      </c>
      <c r="G240" t="str">
        <f t="shared" si="52"/>
        <v/>
      </c>
      <c r="H240" t="str">
        <f t="shared" si="53"/>
        <v>AAL-2026-Q1</v>
      </c>
      <c r="I240" s="3">
        <f>_xlfn.XLOOKUP(H240,prices!A:A,prices!F:F,"no match")</f>
        <v>13.25</v>
      </c>
      <c r="J240">
        <f>_xlfn.XLOOKUP(A240,current!$A:$A,current!$B:$B,"no match")</f>
        <v>13.13</v>
      </c>
      <c r="K240">
        <f t="shared" si="54"/>
        <v>0</v>
      </c>
      <c r="L240">
        <f t="shared" si="55"/>
        <v>0</v>
      </c>
      <c r="M240">
        <f t="shared" si="56"/>
        <v>0</v>
      </c>
      <c r="N240" t="str">
        <f t="shared" si="57"/>
        <v>SPY-2026-Q1</v>
      </c>
      <c r="O240">
        <f>_xlfn.XLOOKUP(N240,prices!$A:$A,prices!$F:$F,"no match")</f>
        <v>676.53</v>
      </c>
      <c r="P240">
        <f t="shared" si="58"/>
        <v>0</v>
      </c>
      <c r="Q240">
        <f>IF(P240="","",P240*assumptions!$B$4)</f>
        <v>0</v>
      </c>
      <c r="R240" s="10">
        <f t="shared" ca="1" si="59"/>
        <v>0.44079397672826831</v>
      </c>
      <c r="S240">
        <f ca="1">IF(E240="","",E240*1000000*(1+assumptions!$B$3)^R240)</f>
        <v>0</v>
      </c>
      <c r="T240">
        <f t="shared" si="60"/>
        <v>0</v>
      </c>
      <c r="U240">
        <f t="shared" si="50"/>
        <v>23</v>
      </c>
      <c r="V240">
        <f t="shared" si="51"/>
        <v>0</v>
      </c>
      <c r="W240">
        <f t="shared" si="61"/>
        <v>0</v>
      </c>
      <c r="X240">
        <f t="shared" si="62"/>
        <v>0</v>
      </c>
    </row>
    <row r="241" spans="1:24" x14ac:dyDescent="0.2">
      <c r="A241" t="s">
        <v>6</v>
      </c>
      <c r="B241">
        <v>2026</v>
      </c>
      <c r="C241" t="s">
        <v>9</v>
      </c>
      <c r="D241" s="1">
        <v>46203</v>
      </c>
      <c r="E241">
        <v>0</v>
      </c>
      <c r="F241" t="s">
        <v>405</v>
      </c>
      <c r="G241" t="str">
        <f t="shared" si="52"/>
        <v/>
      </c>
      <c r="H241" t="str">
        <f t="shared" si="53"/>
        <v>AAL-2026-Q2</v>
      </c>
      <c r="I241" s="3">
        <f>_xlfn.XLOOKUP(H241,prices!A:A,prices!F:F,"no match")</f>
        <v>13.38</v>
      </c>
      <c r="J241">
        <f>_xlfn.XLOOKUP(A241,current!$A:$A,current!$B:$B,"no match")</f>
        <v>13.13</v>
      </c>
      <c r="K241">
        <f t="shared" si="54"/>
        <v>0</v>
      </c>
      <c r="L241">
        <f t="shared" si="55"/>
        <v>0</v>
      </c>
      <c r="M241">
        <f t="shared" si="56"/>
        <v>0</v>
      </c>
      <c r="N241" t="str">
        <f t="shared" si="57"/>
        <v>SPY-2026-Q2</v>
      </c>
      <c r="O241">
        <f>_xlfn.XLOOKUP(N241,prices!$A:$A,prices!$F:$F,"no match")</f>
        <v>723.39</v>
      </c>
      <c r="P241">
        <f t="shared" si="58"/>
        <v>0</v>
      </c>
      <c r="Q241">
        <f>IF(P241="","",P241*assumptions!$B$4)</f>
        <v>0</v>
      </c>
      <c r="R241" s="10">
        <f t="shared" ca="1" si="59"/>
        <v>0.19164955509924708</v>
      </c>
      <c r="S241">
        <f ca="1">IF(E241="","",E241*1000000*(1+assumptions!$B$3)^R241)</f>
        <v>0</v>
      </c>
      <c r="T241">
        <f t="shared" si="60"/>
        <v>0</v>
      </c>
      <c r="U241">
        <f t="shared" si="50"/>
        <v>23</v>
      </c>
      <c r="V241">
        <f t="shared" si="51"/>
        <v>0</v>
      </c>
      <c r="W241">
        <f t="shared" si="61"/>
        <v>0</v>
      </c>
      <c r="X241">
        <f t="shared" si="62"/>
        <v>0</v>
      </c>
    </row>
    <row r="242" spans="1:24" x14ac:dyDescent="0.2">
      <c r="A242" t="s">
        <v>14</v>
      </c>
      <c r="B242">
        <v>2023</v>
      </c>
      <c r="C242" t="s">
        <v>7</v>
      </c>
      <c r="D242" s="1">
        <v>45016</v>
      </c>
      <c r="E242">
        <v>0</v>
      </c>
      <c r="F242" t="s">
        <v>405</v>
      </c>
      <c r="G242" t="str">
        <f t="shared" si="52"/>
        <v/>
      </c>
      <c r="H242" t="str">
        <f t="shared" si="53"/>
        <v>DAL-2023-Q1</v>
      </c>
      <c r="I242" s="3">
        <f>_xlfn.XLOOKUP(H242,prices!A:A,prices!F:F,"no match")</f>
        <v>35.81</v>
      </c>
      <c r="J242">
        <f>_xlfn.XLOOKUP(A242,current!$A:$A,current!$B:$B,"no match")</f>
        <v>80.17</v>
      </c>
      <c r="K242">
        <f t="shared" si="54"/>
        <v>0</v>
      </c>
      <c r="L242">
        <f t="shared" si="55"/>
        <v>0</v>
      </c>
      <c r="M242">
        <f t="shared" si="56"/>
        <v>0</v>
      </c>
      <c r="N242" t="str">
        <f t="shared" si="57"/>
        <v>SPY-2023-Q1</v>
      </c>
      <c r="O242">
        <f>_xlfn.XLOOKUP(N242,prices!$A:$A,prices!$F:$F,"no match")</f>
        <v>381.76</v>
      </c>
      <c r="P242">
        <f t="shared" si="58"/>
        <v>0</v>
      </c>
      <c r="Q242">
        <f>IF(P242="","",P242*assumptions!$B$4)</f>
        <v>0</v>
      </c>
      <c r="R242" s="10">
        <f t="shared" ca="1" si="59"/>
        <v>3.4414784394250515</v>
      </c>
      <c r="S242">
        <f ca="1">IF(E242="","",E242*1000000*(1+assumptions!$B$3)^R242)</f>
        <v>0</v>
      </c>
      <c r="T242">
        <f t="shared" si="60"/>
        <v>0</v>
      </c>
      <c r="U242">
        <f t="shared" si="50"/>
        <v>21</v>
      </c>
      <c r="V242">
        <f t="shared" si="51"/>
        <v>0</v>
      </c>
      <c r="W242">
        <f t="shared" si="61"/>
        <v>0</v>
      </c>
      <c r="X242">
        <f t="shared" si="62"/>
        <v>0</v>
      </c>
    </row>
    <row r="243" spans="1:24" x14ac:dyDescent="0.2">
      <c r="A243" t="s">
        <v>14</v>
      </c>
      <c r="B243">
        <v>2023</v>
      </c>
      <c r="C243" t="s">
        <v>9</v>
      </c>
      <c r="D243" s="1">
        <v>45107</v>
      </c>
      <c r="E243">
        <v>0</v>
      </c>
      <c r="F243" t="s">
        <v>405</v>
      </c>
      <c r="G243" t="str">
        <f t="shared" si="52"/>
        <v/>
      </c>
      <c r="H243" t="str">
        <f t="shared" si="53"/>
        <v>DAL-2023-Q2</v>
      </c>
      <c r="I243" s="3">
        <f>_xlfn.XLOOKUP(H243,prices!A:A,prices!F:F,"no match")</f>
        <v>35.61</v>
      </c>
      <c r="J243">
        <f>_xlfn.XLOOKUP(A243,current!$A:$A,current!$B:$B,"no match")</f>
        <v>80.17</v>
      </c>
      <c r="K243">
        <f t="shared" si="54"/>
        <v>0</v>
      </c>
      <c r="L243">
        <f t="shared" si="55"/>
        <v>0</v>
      </c>
      <c r="M243">
        <f t="shared" si="56"/>
        <v>0</v>
      </c>
      <c r="N243" t="str">
        <f t="shared" si="57"/>
        <v>SPY-2023-Q2</v>
      </c>
      <c r="O243">
        <f>_xlfn.XLOOKUP(N243,prices!$A:$A,prices!$F:$F,"no match")</f>
        <v>403.08</v>
      </c>
      <c r="P243">
        <f t="shared" si="58"/>
        <v>0</v>
      </c>
      <c r="Q243">
        <f>IF(P243="","",P243*assumptions!$B$4)</f>
        <v>0</v>
      </c>
      <c r="R243" s="10">
        <f t="shared" ca="1" si="59"/>
        <v>3.1923340177960302</v>
      </c>
      <c r="S243">
        <f ca="1">IF(E243="","",E243*1000000*(1+assumptions!$B$3)^R243)</f>
        <v>0</v>
      </c>
      <c r="T243">
        <f t="shared" si="60"/>
        <v>0</v>
      </c>
      <c r="U243">
        <f t="shared" si="50"/>
        <v>21</v>
      </c>
      <c r="V243">
        <f t="shared" si="51"/>
        <v>0</v>
      </c>
      <c r="W243">
        <f t="shared" si="61"/>
        <v>0</v>
      </c>
      <c r="X243">
        <f t="shared" si="62"/>
        <v>0</v>
      </c>
    </row>
    <row r="244" spans="1:24" x14ac:dyDescent="0.2">
      <c r="A244" t="s">
        <v>14</v>
      </c>
      <c r="B244">
        <v>2023</v>
      </c>
      <c r="C244" t="s">
        <v>10</v>
      </c>
      <c r="D244" s="1">
        <v>45199</v>
      </c>
      <c r="E244">
        <v>0</v>
      </c>
      <c r="F244" t="s">
        <v>405</v>
      </c>
      <c r="G244" t="str">
        <f t="shared" si="52"/>
        <v/>
      </c>
      <c r="H244" t="str">
        <f t="shared" si="53"/>
        <v>DAL-2023-Q3</v>
      </c>
      <c r="I244" s="3">
        <f>_xlfn.XLOOKUP(H244,prices!A:A,prices!F:F,"no match")</f>
        <v>41.99</v>
      </c>
      <c r="J244">
        <f>_xlfn.XLOOKUP(A244,current!$A:$A,current!$B:$B,"no match")</f>
        <v>80.17</v>
      </c>
      <c r="K244">
        <f t="shared" si="54"/>
        <v>0</v>
      </c>
      <c r="L244">
        <f t="shared" si="55"/>
        <v>0</v>
      </c>
      <c r="M244">
        <f t="shared" si="56"/>
        <v>0</v>
      </c>
      <c r="N244" t="str">
        <f t="shared" si="57"/>
        <v>SPY-2023-Q3</v>
      </c>
      <c r="O244">
        <f>_xlfn.XLOOKUP(N244,prices!$A:$A,prices!$F:$F,"no match")</f>
        <v>428.75</v>
      </c>
      <c r="P244">
        <f t="shared" si="58"/>
        <v>0</v>
      </c>
      <c r="Q244">
        <f>IF(P244="","",P244*assumptions!$B$4)</f>
        <v>0</v>
      </c>
      <c r="R244" s="10">
        <f t="shared" ca="1" si="59"/>
        <v>2.9404517453798769</v>
      </c>
      <c r="S244">
        <f ca="1">IF(E244="","",E244*1000000*(1+assumptions!$B$3)^R244)</f>
        <v>0</v>
      </c>
      <c r="T244">
        <f t="shared" si="60"/>
        <v>0</v>
      </c>
      <c r="U244">
        <f t="shared" si="50"/>
        <v>21</v>
      </c>
      <c r="V244">
        <f t="shared" si="51"/>
        <v>0</v>
      </c>
      <c r="W244">
        <f t="shared" si="61"/>
        <v>0</v>
      </c>
      <c r="X244">
        <f t="shared" si="62"/>
        <v>0</v>
      </c>
    </row>
    <row r="245" spans="1:24" x14ac:dyDescent="0.2">
      <c r="A245" t="s">
        <v>14</v>
      </c>
      <c r="B245">
        <v>2023</v>
      </c>
      <c r="C245" t="s">
        <v>11</v>
      </c>
      <c r="D245" s="1">
        <v>45291</v>
      </c>
      <c r="E245">
        <v>0</v>
      </c>
      <c r="F245" t="s">
        <v>405</v>
      </c>
      <c r="G245" t="str">
        <f t="shared" si="52"/>
        <v/>
      </c>
      <c r="H245" t="str">
        <f t="shared" si="53"/>
        <v>DAL-2023-Q4</v>
      </c>
      <c r="I245" s="3">
        <f>_xlfn.XLOOKUP(H245,prices!A:A,prices!F:F,"no match")</f>
        <v>35.159999999999997</v>
      </c>
      <c r="J245">
        <f>_xlfn.XLOOKUP(A245,current!$A:$A,current!$B:$B,"no match")</f>
        <v>80.17</v>
      </c>
      <c r="K245">
        <f t="shared" si="54"/>
        <v>0</v>
      </c>
      <c r="L245">
        <f t="shared" si="55"/>
        <v>0</v>
      </c>
      <c r="M245">
        <f t="shared" si="56"/>
        <v>0</v>
      </c>
      <c r="N245" t="str">
        <f t="shared" si="57"/>
        <v>SPY-2023-Q4</v>
      </c>
      <c r="O245">
        <f>_xlfn.XLOOKUP(N245,prices!$A:$A,prices!$F:$F,"no match")</f>
        <v>430.96</v>
      </c>
      <c r="P245">
        <f t="shared" si="58"/>
        <v>0</v>
      </c>
      <c r="Q245">
        <f>IF(P245="","",P245*assumptions!$B$4)</f>
        <v>0</v>
      </c>
      <c r="R245" s="10">
        <f t="shared" ca="1" si="59"/>
        <v>2.6885694729637235</v>
      </c>
      <c r="S245">
        <f ca="1">IF(E245="","",E245*1000000*(1+assumptions!$B$3)^R245)</f>
        <v>0</v>
      </c>
      <c r="T245">
        <f t="shared" si="60"/>
        <v>0</v>
      </c>
      <c r="U245">
        <f t="shared" si="50"/>
        <v>21</v>
      </c>
      <c r="V245">
        <f t="shared" si="51"/>
        <v>0</v>
      </c>
      <c r="W245">
        <f t="shared" si="61"/>
        <v>0</v>
      </c>
      <c r="X245">
        <f t="shared" si="62"/>
        <v>0</v>
      </c>
    </row>
    <row r="246" spans="1:24" x14ac:dyDescent="0.2">
      <c r="A246" t="s">
        <v>14</v>
      </c>
      <c r="B246">
        <v>2024</v>
      </c>
      <c r="C246" t="s">
        <v>7</v>
      </c>
      <c r="D246" s="1">
        <v>45382</v>
      </c>
      <c r="E246">
        <v>0</v>
      </c>
      <c r="F246" t="s">
        <v>405</v>
      </c>
      <c r="G246" t="str">
        <f t="shared" si="52"/>
        <v/>
      </c>
      <c r="H246" t="str">
        <f t="shared" si="53"/>
        <v>DAL-2024-Q1</v>
      </c>
      <c r="I246" s="3">
        <f>_xlfn.XLOOKUP(H246,prices!A:A,prices!F:F,"no match")</f>
        <v>40.15</v>
      </c>
      <c r="J246">
        <f>_xlfn.XLOOKUP(A246,current!$A:$A,current!$B:$B,"no match")</f>
        <v>80.17</v>
      </c>
      <c r="K246">
        <f t="shared" si="54"/>
        <v>0</v>
      </c>
      <c r="L246">
        <f t="shared" si="55"/>
        <v>0</v>
      </c>
      <c r="M246">
        <f t="shared" si="56"/>
        <v>0</v>
      </c>
      <c r="N246" t="str">
        <f t="shared" si="57"/>
        <v>SPY-2024-Q1</v>
      </c>
      <c r="O246">
        <f>_xlfn.XLOOKUP(N246,prices!$A:$A,prices!$F:$F,"no match")</f>
        <v>483.53</v>
      </c>
      <c r="P246">
        <f t="shared" si="58"/>
        <v>0</v>
      </c>
      <c r="Q246">
        <f>IF(P246="","",P246*assumptions!$B$4)</f>
        <v>0</v>
      </c>
      <c r="R246" s="10">
        <f t="shared" ca="1" si="59"/>
        <v>2.4394250513347022</v>
      </c>
      <c r="S246">
        <f ca="1">IF(E246="","",E246*1000000*(1+assumptions!$B$3)^R246)</f>
        <v>0</v>
      </c>
      <c r="T246">
        <f t="shared" si="60"/>
        <v>0</v>
      </c>
      <c r="U246">
        <f t="shared" si="50"/>
        <v>21</v>
      </c>
      <c r="V246">
        <f t="shared" si="51"/>
        <v>0</v>
      </c>
      <c r="W246">
        <f t="shared" si="61"/>
        <v>0</v>
      </c>
      <c r="X246">
        <f t="shared" si="62"/>
        <v>0</v>
      </c>
    </row>
    <row r="247" spans="1:24" x14ac:dyDescent="0.2">
      <c r="A247" t="s">
        <v>14</v>
      </c>
      <c r="B247">
        <v>2024</v>
      </c>
      <c r="C247" t="s">
        <v>9</v>
      </c>
      <c r="D247" s="1">
        <v>45473</v>
      </c>
      <c r="E247">
        <v>0</v>
      </c>
      <c r="F247" t="s">
        <v>405</v>
      </c>
      <c r="G247" t="str">
        <f t="shared" si="52"/>
        <v/>
      </c>
      <c r="H247" t="str">
        <f t="shared" si="53"/>
        <v>DAL-2024-Q2</v>
      </c>
      <c r="I247" s="3">
        <f>_xlfn.XLOOKUP(H247,prices!A:A,prices!F:F,"no match")</f>
        <v>48.43</v>
      </c>
      <c r="J247">
        <f>_xlfn.XLOOKUP(A247,current!$A:$A,current!$B:$B,"no match")</f>
        <v>80.17</v>
      </c>
      <c r="K247">
        <f t="shared" si="54"/>
        <v>0</v>
      </c>
      <c r="L247">
        <f t="shared" si="55"/>
        <v>0</v>
      </c>
      <c r="M247">
        <f t="shared" si="56"/>
        <v>0</v>
      </c>
      <c r="N247" t="str">
        <f t="shared" si="57"/>
        <v>SPY-2024-Q2</v>
      </c>
      <c r="O247">
        <f>_xlfn.XLOOKUP(N247,prices!$A:$A,prices!$F:$F,"no match")</f>
        <v>509.8</v>
      </c>
      <c r="P247">
        <f t="shared" si="58"/>
        <v>0</v>
      </c>
      <c r="Q247">
        <f>IF(P247="","",P247*assumptions!$B$4)</f>
        <v>0</v>
      </c>
      <c r="R247" s="10">
        <f t="shared" ca="1" si="59"/>
        <v>2.1902806297056809</v>
      </c>
      <c r="S247">
        <f ca="1">IF(E247="","",E247*1000000*(1+assumptions!$B$3)^R247)</f>
        <v>0</v>
      </c>
      <c r="T247">
        <f t="shared" si="60"/>
        <v>0</v>
      </c>
      <c r="U247">
        <f t="shared" si="50"/>
        <v>21</v>
      </c>
      <c r="V247">
        <f t="shared" si="51"/>
        <v>0</v>
      </c>
      <c r="W247">
        <f t="shared" si="61"/>
        <v>0</v>
      </c>
      <c r="X247">
        <f t="shared" si="62"/>
        <v>0</v>
      </c>
    </row>
    <row r="248" spans="1:24" x14ac:dyDescent="0.2">
      <c r="A248" t="s">
        <v>14</v>
      </c>
      <c r="B248">
        <v>2024</v>
      </c>
      <c r="C248" t="s">
        <v>10</v>
      </c>
      <c r="D248" s="1">
        <v>45565</v>
      </c>
      <c r="E248">
        <v>0</v>
      </c>
      <c r="F248" t="s">
        <v>405</v>
      </c>
      <c r="G248" t="str">
        <f t="shared" si="52"/>
        <v/>
      </c>
      <c r="H248" t="str">
        <f t="shared" si="53"/>
        <v>DAL-2024-Q3</v>
      </c>
      <c r="I248" s="3">
        <f>_xlfn.XLOOKUP(H248,prices!A:A,prices!F:F,"no match")</f>
        <v>42.55</v>
      </c>
      <c r="J248">
        <f>_xlfn.XLOOKUP(A248,current!$A:$A,current!$B:$B,"no match")</f>
        <v>80.17</v>
      </c>
      <c r="K248">
        <f t="shared" si="54"/>
        <v>0</v>
      </c>
      <c r="L248">
        <f t="shared" si="55"/>
        <v>0</v>
      </c>
      <c r="M248">
        <f t="shared" si="56"/>
        <v>0</v>
      </c>
      <c r="N248" t="str">
        <f t="shared" si="57"/>
        <v>SPY-2024-Q3</v>
      </c>
      <c r="O248">
        <f>_xlfn.XLOOKUP(N248,prices!$A:$A,prices!$F:$F,"no match")</f>
        <v>540.33000000000004</v>
      </c>
      <c r="P248">
        <f t="shared" si="58"/>
        <v>0</v>
      </c>
      <c r="Q248">
        <f>IF(P248="","",P248*assumptions!$B$4)</f>
        <v>0</v>
      </c>
      <c r="R248" s="10">
        <f t="shared" ca="1" si="59"/>
        <v>1.9383983572895278</v>
      </c>
      <c r="S248">
        <f ca="1">IF(E248="","",E248*1000000*(1+assumptions!$B$3)^R248)</f>
        <v>0</v>
      </c>
      <c r="T248">
        <f t="shared" si="60"/>
        <v>0</v>
      </c>
      <c r="U248">
        <f t="shared" si="50"/>
        <v>21</v>
      </c>
      <c r="V248">
        <f t="shared" si="51"/>
        <v>0</v>
      </c>
      <c r="W248">
        <f t="shared" si="61"/>
        <v>0</v>
      </c>
      <c r="X248">
        <f t="shared" si="62"/>
        <v>0</v>
      </c>
    </row>
    <row r="249" spans="1:24" x14ac:dyDescent="0.2">
      <c r="A249" t="s">
        <v>14</v>
      </c>
      <c r="B249">
        <v>2024</v>
      </c>
      <c r="C249" t="s">
        <v>11</v>
      </c>
      <c r="D249" s="1">
        <v>45657</v>
      </c>
      <c r="E249">
        <v>0</v>
      </c>
      <c r="F249" t="s">
        <v>405</v>
      </c>
      <c r="G249" t="str">
        <f t="shared" si="52"/>
        <v/>
      </c>
      <c r="H249" t="str">
        <f t="shared" si="53"/>
        <v>DAL-2024-Q4</v>
      </c>
      <c r="I249" s="3">
        <f>_xlfn.XLOOKUP(H249,prices!A:A,prices!F:F,"no match")</f>
        <v>57.87</v>
      </c>
      <c r="J249">
        <f>_xlfn.XLOOKUP(A249,current!$A:$A,current!$B:$B,"no match")</f>
        <v>80.17</v>
      </c>
      <c r="K249">
        <f t="shared" si="54"/>
        <v>0</v>
      </c>
      <c r="L249">
        <f t="shared" si="55"/>
        <v>0</v>
      </c>
      <c r="M249">
        <f t="shared" si="56"/>
        <v>0</v>
      </c>
      <c r="N249" t="str">
        <f t="shared" si="57"/>
        <v>SPY-2024-Q4</v>
      </c>
      <c r="O249">
        <f>_xlfn.XLOOKUP(N249,prices!$A:$A,prices!$F:$F,"no match")</f>
        <v>577.52</v>
      </c>
      <c r="P249">
        <f t="shared" si="58"/>
        <v>0</v>
      </c>
      <c r="Q249">
        <f>IF(P249="","",P249*assumptions!$B$4)</f>
        <v>0</v>
      </c>
      <c r="R249" s="10">
        <f t="shared" ca="1" si="59"/>
        <v>1.6865160848733745</v>
      </c>
      <c r="S249">
        <f ca="1">IF(E249="","",E249*1000000*(1+assumptions!$B$3)^R249)</f>
        <v>0</v>
      </c>
      <c r="T249">
        <f t="shared" si="60"/>
        <v>0</v>
      </c>
      <c r="U249">
        <f t="shared" si="50"/>
        <v>21</v>
      </c>
      <c r="V249">
        <f t="shared" si="51"/>
        <v>0</v>
      </c>
      <c r="W249">
        <f t="shared" si="61"/>
        <v>0</v>
      </c>
      <c r="X249">
        <f t="shared" si="62"/>
        <v>0</v>
      </c>
    </row>
    <row r="250" spans="1:24" x14ac:dyDescent="0.2">
      <c r="A250" t="s">
        <v>14</v>
      </c>
      <c r="B250">
        <v>2025</v>
      </c>
      <c r="C250" t="s">
        <v>7</v>
      </c>
      <c r="D250" s="1">
        <v>45747</v>
      </c>
      <c r="E250">
        <v>0</v>
      </c>
      <c r="F250" t="s">
        <v>405</v>
      </c>
      <c r="G250" t="str">
        <f t="shared" si="52"/>
        <v/>
      </c>
      <c r="H250" t="str">
        <f t="shared" si="53"/>
        <v>DAL-2025-Q1</v>
      </c>
      <c r="I250" s="3">
        <f>_xlfn.XLOOKUP(H250,prices!A:A,prices!F:F,"no match")</f>
        <v>58.17</v>
      </c>
      <c r="J250">
        <f>_xlfn.XLOOKUP(A250,current!$A:$A,current!$B:$B,"no match")</f>
        <v>80.17</v>
      </c>
      <c r="K250">
        <f t="shared" si="54"/>
        <v>0</v>
      </c>
      <c r="L250">
        <f t="shared" si="55"/>
        <v>0</v>
      </c>
      <c r="M250">
        <f t="shared" si="56"/>
        <v>0</v>
      </c>
      <c r="N250" t="str">
        <f t="shared" si="57"/>
        <v>SPY-2025-Q1</v>
      </c>
      <c r="O250">
        <f>_xlfn.XLOOKUP(N250,prices!$A:$A,prices!$F:$F,"no match")</f>
        <v>578.08000000000004</v>
      </c>
      <c r="P250">
        <f t="shared" si="58"/>
        <v>0</v>
      </c>
      <c r="Q250">
        <f>IF(P250="","",P250*assumptions!$B$4)</f>
        <v>0</v>
      </c>
      <c r="R250" s="10">
        <f t="shared" ca="1" si="59"/>
        <v>1.4401095140314852</v>
      </c>
      <c r="S250">
        <f ca="1">IF(E250="","",E250*1000000*(1+assumptions!$B$3)^R250)</f>
        <v>0</v>
      </c>
      <c r="T250">
        <f t="shared" si="60"/>
        <v>0</v>
      </c>
      <c r="U250">
        <f t="shared" si="50"/>
        <v>21</v>
      </c>
      <c r="V250">
        <f t="shared" si="51"/>
        <v>0</v>
      </c>
      <c r="W250">
        <f t="shared" si="61"/>
        <v>0</v>
      </c>
      <c r="X250">
        <f t="shared" si="62"/>
        <v>0</v>
      </c>
    </row>
    <row r="251" spans="1:24" x14ac:dyDescent="0.2">
      <c r="A251" t="s">
        <v>14</v>
      </c>
      <c r="B251">
        <v>2025</v>
      </c>
      <c r="C251" t="s">
        <v>9</v>
      </c>
      <c r="D251" s="1">
        <v>45838</v>
      </c>
      <c r="E251">
        <v>0</v>
      </c>
      <c r="F251" t="s">
        <v>405</v>
      </c>
      <c r="G251" t="str">
        <f t="shared" si="52"/>
        <v/>
      </c>
      <c r="H251" t="str">
        <f t="shared" si="53"/>
        <v>DAL-2025-Q2</v>
      </c>
      <c r="I251" s="3">
        <f>_xlfn.XLOOKUP(H251,prices!A:A,prices!F:F,"no match")</f>
        <v>45.2</v>
      </c>
      <c r="J251">
        <f>_xlfn.XLOOKUP(A251,current!$A:$A,current!$B:$B,"no match")</f>
        <v>80.17</v>
      </c>
      <c r="K251">
        <f t="shared" si="54"/>
        <v>0</v>
      </c>
      <c r="L251">
        <f t="shared" si="55"/>
        <v>0</v>
      </c>
      <c r="M251">
        <f t="shared" si="56"/>
        <v>0</v>
      </c>
      <c r="N251" t="str">
        <f t="shared" si="57"/>
        <v>SPY-2025-Q2</v>
      </c>
      <c r="O251">
        <f>_xlfn.XLOOKUP(N251,prices!$A:$A,prices!$F:$F,"no match")</f>
        <v>563.91</v>
      </c>
      <c r="P251">
        <f t="shared" si="58"/>
        <v>0</v>
      </c>
      <c r="Q251">
        <f>IF(P251="","",P251*assumptions!$B$4)</f>
        <v>0</v>
      </c>
      <c r="R251" s="10">
        <f t="shared" ca="1" si="59"/>
        <v>1.1909650924024642</v>
      </c>
      <c r="S251">
        <f ca="1">IF(E251="","",E251*1000000*(1+assumptions!$B$3)^R251)</f>
        <v>0</v>
      </c>
      <c r="T251">
        <f t="shared" si="60"/>
        <v>0</v>
      </c>
      <c r="U251">
        <f t="shared" si="50"/>
        <v>21</v>
      </c>
      <c r="V251">
        <f t="shared" si="51"/>
        <v>0</v>
      </c>
      <c r="W251">
        <f t="shared" si="61"/>
        <v>0</v>
      </c>
      <c r="X251">
        <f t="shared" si="62"/>
        <v>0</v>
      </c>
    </row>
    <row r="252" spans="1:24" x14ac:dyDescent="0.2">
      <c r="A252" t="s">
        <v>14</v>
      </c>
      <c r="B252">
        <v>2025</v>
      </c>
      <c r="C252" t="s">
        <v>10</v>
      </c>
      <c r="D252" s="1">
        <v>45930</v>
      </c>
      <c r="E252">
        <v>0</v>
      </c>
      <c r="F252" t="s">
        <v>405</v>
      </c>
      <c r="G252" t="str">
        <f t="shared" si="52"/>
        <v/>
      </c>
      <c r="H252" t="str">
        <f t="shared" si="53"/>
        <v>DAL-2025-Q3</v>
      </c>
      <c r="I252" s="3">
        <f>_xlfn.XLOOKUP(H252,prices!A:A,prices!F:F,"no match")</f>
        <v>56.39</v>
      </c>
      <c r="J252">
        <f>_xlfn.XLOOKUP(A252,current!$A:$A,current!$B:$B,"no match")</f>
        <v>80.17</v>
      </c>
      <c r="K252">
        <f t="shared" si="54"/>
        <v>0</v>
      </c>
      <c r="L252">
        <f t="shared" si="55"/>
        <v>0</v>
      </c>
      <c r="M252">
        <f t="shared" si="56"/>
        <v>0</v>
      </c>
      <c r="N252" t="str">
        <f t="shared" si="57"/>
        <v>SPY-2025-Q3</v>
      </c>
      <c r="O252">
        <f>_xlfn.XLOOKUP(N252,prices!$A:$A,prices!$F:$F,"no match")</f>
        <v>634.23</v>
      </c>
      <c r="P252">
        <f t="shared" si="58"/>
        <v>0</v>
      </c>
      <c r="Q252">
        <f>IF(P252="","",P252*assumptions!$B$4)</f>
        <v>0</v>
      </c>
      <c r="R252" s="10">
        <f t="shared" ca="1" si="59"/>
        <v>0.93908281998631071</v>
      </c>
      <c r="S252">
        <f ca="1">IF(E252="","",E252*1000000*(1+assumptions!$B$3)^R252)</f>
        <v>0</v>
      </c>
      <c r="T252">
        <f t="shared" si="60"/>
        <v>0</v>
      </c>
      <c r="U252">
        <f t="shared" si="50"/>
        <v>21</v>
      </c>
      <c r="V252">
        <f t="shared" si="51"/>
        <v>0</v>
      </c>
      <c r="W252">
        <f t="shared" si="61"/>
        <v>0</v>
      </c>
      <c r="X252">
        <f t="shared" si="62"/>
        <v>0</v>
      </c>
    </row>
    <row r="253" spans="1:24" x14ac:dyDescent="0.2">
      <c r="A253" t="s">
        <v>14</v>
      </c>
      <c r="B253">
        <v>2025</v>
      </c>
      <c r="C253" t="s">
        <v>11</v>
      </c>
      <c r="D253" s="1">
        <v>46022</v>
      </c>
      <c r="E253">
        <v>0</v>
      </c>
      <c r="F253" t="s">
        <v>405</v>
      </c>
      <c r="G253" t="str">
        <f t="shared" si="52"/>
        <v/>
      </c>
      <c r="H253" t="str">
        <f t="shared" si="53"/>
        <v>DAL-2025-Q4</v>
      </c>
      <c r="I253" s="3">
        <f>_xlfn.XLOOKUP(H253,prices!A:A,prices!F:F,"no match")</f>
        <v>61.96</v>
      </c>
      <c r="J253">
        <f>_xlfn.XLOOKUP(A253,current!$A:$A,current!$B:$B,"no match")</f>
        <v>80.17</v>
      </c>
      <c r="K253">
        <f t="shared" si="54"/>
        <v>0</v>
      </c>
      <c r="L253">
        <f t="shared" si="55"/>
        <v>0</v>
      </c>
      <c r="M253">
        <f t="shared" si="56"/>
        <v>0</v>
      </c>
      <c r="N253" t="str">
        <f t="shared" si="57"/>
        <v>SPY-2025-Q4</v>
      </c>
      <c r="O253">
        <f>_xlfn.XLOOKUP(N253,prices!$A:$A,prices!$F:$F,"no match")</f>
        <v>670.58</v>
      </c>
      <c r="P253">
        <f t="shared" si="58"/>
        <v>0</v>
      </c>
      <c r="Q253">
        <f>IF(P253="","",P253*assumptions!$B$4)</f>
        <v>0</v>
      </c>
      <c r="R253" s="10">
        <f t="shared" ca="1" si="59"/>
        <v>0.68720054757015747</v>
      </c>
      <c r="S253">
        <f ca="1">IF(E253="","",E253*1000000*(1+assumptions!$B$3)^R253)</f>
        <v>0</v>
      </c>
      <c r="T253">
        <f t="shared" si="60"/>
        <v>0</v>
      </c>
      <c r="U253">
        <f t="shared" si="50"/>
        <v>21</v>
      </c>
      <c r="V253">
        <f t="shared" si="51"/>
        <v>0</v>
      </c>
      <c r="W253">
        <f t="shared" si="61"/>
        <v>0</v>
      </c>
      <c r="X253">
        <f t="shared" si="62"/>
        <v>0</v>
      </c>
    </row>
    <row r="254" spans="1:24" x14ac:dyDescent="0.2">
      <c r="A254" t="s">
        <v>14</v>
      </c>
      <c r="B254">
        <v>2026</v>
      </c>
      <c r="C254" t="s">
        <v>7</v>
      </c>
      <c r="D254" s="1">
        <v>46112</v>
      </c>
      <c r="E254">
        <v>0</v>
      </c>
      <c r="F254" t="s">
        <v>405</v>
      </c>
      <c r="G254" t="str">
        <f t="shared" si="52"/>
        <v/>
      </c>
      <c r="H254" t="str">
        <f t="shared" si="53"/>
        <v>DAL-2026-Q1</v>
      </c>
      <c r="I254" s="3">
        <f>_xlfn.XLOOKUP(H254,prices!A:A,prices!F:F,"no match")</f>
        <v>66.88</v>
      </c>
      <c r="J254">
        <f>_xlfn.XLOOKUP(A254,current!$A:$A,current!$B:$B,"no match")</f>
        <v>80.17</v>
      </c>
      <c r="K254">
        <f t="shared" si="54"/>
        <v>0</v>
      </c>
      <c r="L254">
        <f t="shared" si="55"/>
        <v>0</v>
      </c>
      <c r="M254">
        <f t="shared" si="56"/>
        <v>0</v>
      </c>
      <c r="N254" t="str">
        <f t="shared" si="57"/>
        <v>SPY-2026-Q1</v>
      </c>
      <c r="O254">
        <f>_xlfn.XLOOKUP(N254,prices!$A:$A,prices!$F:$F,"no match")</f>
        <v>676.53</v>
      </c>
      <c r="P254">
        <f t="shared" si="58"/>
        <v>0</v>
      </c>
      <c r="Q254">
        <f>IF(P254="","",P254*assumptions!$B$4)</f>
        <v>0</v>
      </c>
      <c r="R254" s="10">
        <f t="shared" ca="1" si="59"/>
        <v>0.44079397672826831</v>
      </c>
      <c r="S254">
        <f ca="1">IF(E254="","",E254*1000000*(1+assumptions!$B$3)^R254)</f>
        <v>0</v>
      </c>
      <c r="T254">
        <f t="shared" si="60"/>
        <v>0</v>
      </c>
      <c r="U254">
        <f t="shared" si="50"/>
        <v>21</v>
      </c>
      <c r="V254">
        <f t="shared" si="51"/>
        <v>0</v>
      </c>
      <c r="W254">
        <f t="shared" si="61"/>
        <v>0</v>
      </c>
      <c r="X254">
        <f t="shared" si="62"/>
        <v>0</v>
      </c>
    </row>
    <row r="255" spans="1:24" x14ac:dyDescent="0.2">
      <c r="A255" t="s">
        <v>14</v>
      </c>
      <c r="B255">
        <v>2026</v>
      </c>
      <c r="C255" t="s">
        <v>9</v>
      </c>
      <c r="D255" s="1">
        <v>46203</v>
      </c>
      <c r="E255">
        <v>0</v>
      </c>
      <c r="F255" t="s">
        <v>405</v>
      </c>
      <c r="G255" t="str">
        <f t="shared" si="52"/>
        <v/>
      </c>
      <c r="H255" t="str">
        <f t="shared" si="53"/>
        <v>DAL-2026-Q2</v>
      </c>
      <c r="I255" s="3">
        <f>_xlfn.XLOOKUP(H255,prices!A:A,prices!F:F,"no match")</f>
        <v>75.22</v>
      </c>
      <c r="J255">
        <f>_xlfn.XLOOKUP(A255,current!$A:$A,current!$B:$B,"no match")</f>
        <v>80.17</v>
      </c>
      <c r="K255">
        <f t="shared" si="54"/>
        <v>0</v>
      </c>
      <c r="L255">
        <f t="shared" si="55"/>
        <v>0</v>
      </c>
      <c r="M255">
        <f t="shared" si="56"/>
        <v>0</v>
      </c>
      <c r="N255" t="str">
        <f t="shared" si="57"/>
        <v>SPY-2026-Q2</v>
      </c>
      <c r="O255">
        <f>_xlfn.XLOOKUP(N255,prices!$A:$A,prices!$F:$F,"no match")</f>
        <v>723.39</v>
      </c>
      <c r="P255">
        <f t="shared" si="58"/>
        <v>0</v>
      </c>
      <c r="Q255">
        <f>IF(P255="","",P255*assumptions!$B$4)</f>
        <v>0</v>
      </c>
      <c r="R255" s="10">
        <f t="shared" ca="1" si="59"/>
        <v>0.19164955509924708</v>
      </c>
      <c r="S255">
        <f ca="1">IF(E255="","",E255*1000000*(1+assumptions!$B$3)^R255)</f>
        <v>0</v>
      </c>
      <c r="T255">
        <f t="shared" si="60"/>
        <v>0</v>
      </c>
      <c r="U255">
        <f t="shared" si="50"/>
        <v>21</v>
      </c>
      <c r="V255">
        <f t="shared" si="51"/>
        <v>0</v>
      </c>
      <c r="W255">
        <f t="shared" si="61"/>
        <v>0</v>
      </c>
      <c r="X255">
        <f t="shared" si="62"/>
        <v>0</v>
      </c>
    </row>
    <row r="256" spans="1:24" x14ac:dyDescent="0.2">
      <c r="A256" t="s">
        <v>15</v>
      </c>
      <c r="B256">
        <v>2021</v>
      </c>
      <c r="C256" t="s">
        <v>7</v>
      </c>
      <c r="D256" s="1">
        <v>44286</v>
      </c>
      <c r="E256">
        <v>0</v>
      </c>
      <c r="F256" t="s">
        <v>405</v>
      </c>
      <c r="G256" t="str">
        <f t="shared" si="52"/>
        <v/>
      </c>
      <c r="H256" t="str">
        <f t="shared" si="53"/>
        <v>JBLU-2021-Q1</v>
      </c>
      <c r="I256" s="3">
        <f>_xlfn.XLOOKUP(H256,prices!A:A,prices!F:F,"no match")</f>
        <v>17.329999999999998</v>
      </c>
      <c r="J256">
        <f>_xlfn.XLOOKUP(A256,current!$A:$A,current!$B:$B,"no match")</f>
        <v>4.63</v>
      </c>
      <c r="K256">
        <f t="shared" si="54"/>
        <v>0</v>
      </c>
      <c r="L256">
        <f t="shared" si="55"/>
        <v>0</v>
      </c>
      <c r="M256">
        <f t="shared" si="56"/>
        <v>0</v>
      </c>
      <c r="N256" t="str">
        <f t="shared" si="57"/>
        <v>SPY-2021-Q1</v>
      </c>
      <c r="O256">
        <f>_xlfn.XLOOKUP(N256,prices!$A:$A,prices!$F:$F,"no match")</f>
        <v>358.26</v>
      </c>
      <c r="P256">
        <f t="shared" si="58"/>
        <v>0</v>
      </c>
      <c r="Q256">
        <f>IF(P256="","",P256*assumptions!$B$4)</f>
        <v>0</v>
      </c>
      <c r="R256" s="10">
        <f t="shared" ca="1" si="59"/>
        <v>5.4401095140314855</v>
      </c>
      <c r="S256">
        <f ca="1">IF(E256="","",E256*1000000*(1+assumptions!$B$3)^R256)</f>
        <v>0</v>
      </c>
      <c r="T256">
        <f t="shared" si="60"/>
        <v>0</v>
      </c>
      <c r="U256">
        <f t="shared" si="50"/>
        <v>8</v>
      </c>
      <c r="V256">
        <f t="shared" si="51"/>
        <v>0</v>
      </c>
      <c r="W256">
        <f t="shared" si="61"/>
        <v>0</v>
      </c>
      <c r="X256">
        <f t="shared" si="62"/>
        <v>0</v>
      </c>
    </row>
    <row r="257" spans="1:24" x14ac:dyDescent="0.2">
      <c r="A257" t="s">
        <v>15</v>
      </c>
      <c r="B257">
        <v>2021</v>
      </c>
      <c r="C257" t="s">
        <v>9</v>
      </c>
      <c r="D257" s="1">
        <v>44377</v>
      </c>
      <c r="E257">
        <v>0</v>
      </c>
      <c r="F257" t="s">
        <v>405</v>
      </c>
      <c r="G257" t="str">
        <f t="shared" si="52"/>
        <v/>
      </c>
      <c r="H257" t="str">
        <f t="shared" si="53"/>
        <v>JBLU-2021-Q2</v>
      </c>
      <c r="I257" s="3">
        <f>_xlfn.XLOOKUP(H257,prices!A:A,prices!F:F,"no match")</f>
        <v>19.37</v>
      </c>
      <c r="J257">
        <f>_xlfn.XLOOKUP(A257,current!$A:$A,current!$B:$B,"no match")</f>
        <v>4.63</v>
      </c>
      <c r="K257">
        <f t="shared" si="54"/>
        <v>0</v>
      </c>
      <c r="L257">
        <f t="shared" si="55"/>
        <v>0</v>
      </c>
      <c r="M257">
        <f t="shared" si="56"/>
        <v>0</v>
      </c>
      <c r="N257" t="str">
        <f t="shared" si="57"/>
        <v>SPY-2021-Q2</v>
      </c>
      <c r="O257">
        <f>_xlfn.XLOOKUP(N257,prices!$A:$A,prices!$F:$F,"no match")</f>
        <v>389.03</v>
      </c>
      <c r="P257">
        <f t="shared" si="58"/>
        <v>0</v>
      </c>
      <c r="Q257">
        <f>IF(P257="","",P257*assumptions!$B$4)</f>
        <v>0</v>
      </c>
      <c r="R257" s="10">
        <f t="shared" ca="1" si="59"/>
        <v>5.1909650924024637</v>
      </c>
      <c r="S257">
        <f ca="1">IF(E257="","",E257*1000000*(1+assumptions!$B$3)^R257)</f>
        <v>0</v>
      </c>
      <c r="T257">
        <f t="shared" si="60"/>
        <v>0</v>
      </c>
      <c r="U257">
        <f t="shared" si="50"/>
        <v>8</v>
      </c>
      <c r="V257">
        <f t="shared" si="51"/>
        <v>0</v>
      </c>
      <c r="W257">
        <f t="shared" si="61"/>
        <v>0</v>
      </c>
      <c r="X257">
        <f t="shared" si="62"/>
        <v>0</v>
      </c>
    </row>
    <row r="258" spans="1:24" x14ac:dyDescent="0.2">
      <c r="A258" t="s">
        <v>15</v>
      </c>
      <c r="B258">
        <v>2021</v>
      </c>
      <c r="C258" t="s">
        <v>10</v>
      </c>
      <c r="D258" s="1">
        <v>44469</v>
      </c>
      <c r="E258">
        <v>0</v>
      </c>
      <c r="F258" t="s">
        <v>405</v>
      </c>
      <c r="G258" t="str">
        <f t="shared" si="52"/>
        <v/>
      </c>
      <c r="H258" t="str">
        <f t="shared" si="53"/>
        <v>JBLU-2021-Q3</v>
      </c>
      <c r="I258" s="3">
        <f>_xlfn.XLOOKUP(H258,prices!A:A,prices!F:F,"no match")</f>
        <v>15.34</v>
      </c>
      <c r="J258">
        <f>_xlfn.XLOOKUP(A258,current!$A:$A,current!$B:$B,"no match")</f>
        <v>4.63</v>
      </c>
      <c r="K258">
        <f t="shared" si="54"/>
        <v>0</v>
      </c>
      <c r="L258">
        <f t="shared" si="55"/>
        <v>0</v>
      </c>
      <c r="M258">
        <f t="shared" si="56"/>
        <v>0</v>
      </c>
      <c r="N258" t="str">
        <f t="shared" si="57"/>
        <v>SPY-2021-Q3</v>
      </c>
      <c r="O258">
        <f>_xlfn.XLOOKUP(N258,prices!$A:$A,prices!$F:$F,"no match")</f>
        <v>412.48</v>
      </c>
      <c r="P258">
        <f t="shared" si="58"/>
        <v>0</v>
      </c>
      <c r="Q258">
        <f>IF(P258="","",P258*assumptions!$B$4)</f>
        <v>0</v>
      </c>
      <c r="R258" s="10">
        <f t="shared" ca="1" si="59"/>
        <v>4.9390828199863108</v>
      </c>
      <c r="S258">
        <f ca="1">IF(E258="","",E258*1000000*(1+assumptions!$B$3)^R258)</f>
        <v>0</v>
      </c>
      <c r="T258">
        <f t="shared" si="60"/>
        <v>0</v>
      </c>
      <c r="U258">
        <f t="shared" ref="U258:U277" si="63">SUMIFS($T:$T,$A:$A,$A258)</f>
        <v>8</v>
      </c>
      <c r="V258">
        <f t="shared" ref="V258:V321" si="64">IF(T258=0,0,SUMIFS($E:$E,$A:$A,$A258)/U258)</f>
        <v>0</v>
      </c>
      <c r="W258">
        <f t="shared" si="61"/>
        <v>0</v>
      </c>
      <c r="X258">
        <f t="shared" si="62"/>
        <v>0</v>
      </c>
    </row>
    <row r="259" spans="1:24" x14ac:dyDescent="0.2">
      <c r="A259" t="s">
        <v>15</v>
      </c>
      <c r="B259">
        <v>2021</v>
      </c>
      <c r="C259" t="s">
        <v>11</v>
      </c>
      <c r="D259" s="1">
        <v>44561</v>
      </c>
      <c r="E259">
        <v>0</v>
      </c>
      <c r="F259" t="s">
        <v>405</v>
      </c>
      <c r="G259" t="str">
        <f t="shared" si="52"/>
        <v/>
      </c>
      <c r="H259" t="str">
        <f t="shared" si="53"/>
        <v>JBLU-2021-Q4</v>
      </c>
      <c r="I259" s="3">
        <f>_xlfn.XLOOKUP(H259,prices!A:A,prices!F:F,"no match")</f>
        <v>14.7</v>
      </c>
      <c r="J259">
        <f>_xlfn.XLOOKUP(A259,current!$A:$A,current!$B:$B,"no match")</f>
        <v>4.63</v>
      </c>
      <c r="K259">
        <f t="shared" si="54"/>
        <v>0</v>
      </c>
      <c r="L259">
        <f t="shared" si="55"/>
        <v>0</v>
      </c>
      <c r="M259">
        <f t="shared" si="56"/>
        <v>0</v>
      </c>
      <c r="N259" t="str">
        <f t="shared" si="57"/>
        <v>SPY-2021-Q4</v>
      </c>
      <c r="O259">
        <f>_xlfn.XLOOKUP(N259,prices!$A:$A,prices!$F:$F,"no match")</f>
        <v>430.69</v>
      </c>
      <c r="P259">
        <f t="shared" si="58"/>
        <v>0</v>
      </c>
      <c r="Q259">
        <f>IF(P259="","",P259*assumptions!$B$4)</f>
        <v>0</v>
      </c>
      <c r="R259" s="10">
        <f t="shared" ca="1" si="59"/>
        <v>4.687200547570157</v>
      </c>
      <c r="S259">
        <f ca="1">IF(E259="","",E259*1000000*(1+assumptions!$B$3)^R259)</f>
        <v>0</v>
      </c>
      <c r="T259">
        <f t="shared" si="60"/>
        <v>0</v>
      </c>
      <c r="U259">
        <f t="shared" si="63"/>
        <v>8</v>
      </c>
      <c r="V259">
        <f t="shared" si="64"/>
        <v>0</v>
      </c>
      <c r="W259">
        <f t="shared" si="61"/>
        <v>0</v>
      </c>
      <c r="X259">
        <f t="shared" si="62"/>
        <v>0</v>
      </c>
    </row>
    <row r="260" spans="1:24" x14ac:dyDescent="0.2">
      <c r="A260" t="s">
        <v>15</v>
      </c>
      <c r="B260">
        <v>2022</v>
      </c>
      <c r="C260" t="s">
        <v>7</v>
      </c>
      <c r="D260" s="1">
        <v>44651</v>
      </c>
      <c r="E260">
        <v>0</v>
      </c>
      <c r="F260" t="s">
        <v>405</v>
      </c>
      <c r="G260" t="str">
        <f t="shared" ref="G260:G277" si="65">IF(F260&lt;&gt;"missing","",IF(D260&gt;DATE(2026,6,30),"not yet filed","no repurchases reported"))</f>
        <v/>
      </c>
      <c r="H260" t="str">
        <f t="shared" ref="H260:H277" si="66">A260&amp;"-"&amp;B260&amp;"-"&amp;C260</f>
        <v>JBLU-2022-Q1</v>
      </c>
      <c r="I260" s="3">
        <f>_xlfn.XLOOKUP(H260,prices!A:A,prices!F:F,"no match")</f>
        <v>14.48</v>
      </c>
      <c r="J260">
        <f>_xlfn.XLOOKUP(A260,current!$A:$A,current!$B:$B,"no match")</f>
        <v>4.63</v>
      </c>
      <c r="K260">
        <f t="shared" ref="K260:K277" si="67">IF(E260="","",E260*1000000/I260)</f>
        <v>0</v>
      </c>
      <c r="L260">
        <f t="shared" ref="L260:L277" si="68">IF(K260="","",K260*J260)</f>
        <v>0</v>
      </c>
      <c r="M260">
        <f t="shared" ref="M260:M277" si="69">IF(E260="","",E260*D260)</f>
        <v>0</v>
      </c>
      <c r="N260" t="str">
        <f t="shared" ref="N260:N277" si="70">"SPY-"&amp;B260&amp;"-"&amp;C260</f>
        <v>SPY-2022-Q1</v>
      </c>
      <c r="O260">
        <f>_xlfn.XLOOKUP(N260,prices!$A:$A,prices!$F:$F,"no match")</f>
        <v>419.12</v>
      </c>
      <c r="P260">
        <f t="shared" ref="P260:P277" si="71">IF(E260="","",E260*1000000/O260)</f>
        <v>0</v>
      </c>
      <c r="Q260">
        <f>IF(P260="","",P260*assumptions!$B$4)</f>
        <v>0</v>
      </c>
      <c r="R260" s="10">
        <f t="shared" ref="R260:R277" ca="1" si="72">IF(E260="","",(TODAY()-D260)/365.25)</f>
        <v>4.4407939767282683</v>
      </c>
      <c r="S260">
        <f ca="1">IF(E260="","",E260*1000000*(1+assumptions!$B$3)^R260)</f>
        <v>0</v>
      </c>
      <c r="T260">
        <f t="shared" ref="T260:T277" si="73">IF(E260="",0,IF(E260&gt;0,1,0))</f>
        <v>0</v>
      </c>
      <c r="U260">
        <f t="shared" si="63"/>
        <v>8</v>
      </c>
      <c r="V260">
        <f t="shared" si="64"/>
        <v>0</v>
      </c>
      <c r="W260">
        <f t="shared" ref="W260:W277" si="74">IF(V260=0,0,V260*1000000/I260)</f>
        <v>0</v>
      </c>
      <c r="X260">
        <f t="shared" ref="X260:X277" si="75">IF(W260=0,0,W260*J260)</f>
        <v>0</v>
      </c>
    </row>
    <row r="261" spans="1:24" x14ac:dyDescent="0.2">
      <c r="A261" t="s">
        <v>15</v>
      </c>
      <c r="B261">
        <v>2022</v>
      </c>
      <c r="C261" t="s">
        <v>9</v>
      </c>
      <c r="D261" s="1">
        <v>44742</v>
      </c>
      <c r="E261">
        <v>0</v>
      </c>
      <c r="F261" t="s">
        <v>405</v>
      </c>
      <c r="G261" t="str">
        <f t="shared" si="65"/>
        <v/>
      </c>
      <c r="H261" t="str">
        <f t="shared" si="66"/>
        <v>JBLU-2022-Q2</v>
      </c>
      <c r="I261" s="3">
        <f>_xlfn.XLOOKUP(H261,prices!A:A,prices!F:F,"no match")</f>
        <v>10.69</v>
      </c>
      <c r="J261">
        <f>_xlfn.XLOOKUP(A261,current!$A:$A,current!$B:$B,"no match")</f>
        <v>4.63</v>
      </c>
      <c r="K261">
        <f t="shared" si="67"/>
        <v>0</v>
      </c>
      <c r="L261">
        <f t="shared" si="68"/>
        <v>0</v>
      </c>
      <c r="M261">
        <f t="shared" si="69"/>
        <v>0</v>
      </c>
      <c r="N261" t="str">
        <f t="shared" si="70"/>
        <v>SPY-2022-Q2</v>
      </c>
      <c r="O261">
        <f>_xlfn.XLOOKUP(N261,prices!$A:$A,prices!$F:$F,"no match")</f>
        <v>386.88</v>
      </c>
      <c r="P261">
        <f t="shared" si="71"/>
        <v>0</v>
      </c>
      <c r="Q261">
        <f>IF(P261="","",P261*assumptions!$B$4)</f>
        <v>0</v>
      </c>
      <c r="R261" s="10">
        <f t="shared" ca="1" si="72"/>
        <v>4.1916495550992474</v>
      </c>
      <c r="S261">
        <f ca="1">IF(E261="","",E261*1000000*(1+assumptions!$B$3)^R261)</f>
        <v>0</v>
      </c>
      <c r="T261">
        <f t="shared" si="73"/>
        <v>0</v>
      </c>
      <c r="U261">
        <f t="shared" si="63"/>
        <v>8</v>
      </c>
      <c r="V261">
        <f t="shared" si="64"/>
        <v>0</v>
      </c>
      <c r="W261">
        <f t="shared" si="74"/>
        <v>0</v>
      </c>
      <c r="X261">
        <f t="shared" si="75"/>
        <v>0</v>
      </c>
    </row>
    <row r="262" spans="1:24" x14ac:dyDescent="0.2">
      <c r="A262" t="s">
        <v>15</v>
      </c>
      <c r="B262">
        <v>2022</v>
      </c>
      <c r="C262" t="s">
        <v>10</v>
      </c>
      <c r="D262" s="1">
        <v>44834</v>
      </c>
      <c r="E262">
        <v>0</v>
      </c>
      <c r="F262" t="s">
        <v>405</v>
      </c>
      <c r="G262" t="str">
        <f t="shared" si="65"/>
        <v/>
      </c>
      <c r="H262" t="str">
        <f t="shared" si="66"/>
        <v>JBLU-2022-Q3</v>
      </c>
      <c r="I262" s="3">
        <f>_xlfn.XLOOKUP(H262,prices!A:A,prices!F:F,"no match")</f>
        <v>8.14</v>
      </c>
      <c r="J262">
        <f>_xlfn.XLOOKUP(A262,current!$A:$A,current!$B:$B,"no match")</f>
        <v>4.63</v>
      </c>
      <c r="K262">
        <f t="shared" si="67"/>
        <v>0</v>
      </c>
      <c r="L262">
        <f t="shared" si="68"/>
        <v>0</v>
      </c>
      <c r="M262">
        <f t="shared" si="69"/>
        <v>0</v>
      </c>
      <c r="N262" t="str">
        <f t="shared" si="70"/>
        <v>SPY-2022-Q3</v>
      </c>
      <c r="O262">
        <f>_xlfn.XLOOKUP(N262,prices!$A:$A,prices!$F:$F,"no match")</f>
        <v>376.69</v>
      </c>
      <c r="P262">
        <f t="shared" si="71"/>
        <v>0</v>
      </c>
      <c r="Q262">
        <f>IF(P262="","",P262*assumptions!$B$4)</f>
        <v>0</v>
      </c>
      <c r="R262" s="10">
        <f t="shared" ca="1" si="72"/>
        <v>3.9397672826830936</v>
      </c>
      <c r="S262">
        <f ca="1">IF(E262="","",E262*1000000*(1+assumptions!$B$3)^R262)</f>
        <v>0</v>
      </c>
      <c r="T262">
        <f t="shared" si="73"/>
        <v>0</v>
      </c>
      <c r="U262">
        <f t="shared" si="63"/>
        <v>8</v>
      </c>
      <c r="V262">
        <f t="shared" si="64"/>
        <v>0</v>
      </c>
      <c r="W262">
        <f t="shared" si="74"/>
        <v>0</v>
      </c>
      <c r="X262">
        <f t="shared" si="75"/>
        <v>0</v>
      </c>
    </row>
    <row r="263" spans="1:24" x14ac:dyDescent="0.2">
      <c r="A263" t="s">
        <v>15</v>
      </c>
      <c r="B263">
        <v>2022</v>
      </c>
      <c r="C263" t="s">
        <v>11</v>
      </c>
      <c r="D263" s="1">
        <v>44926</v>
      </c>
      <c r="E263">
        <v>0</v>
      </c>
      <c r="F263" t="s">
        <v>405</v>
      </c>
      <c r="G263" t="str">
        <f t="shared" si="65"/>
        <v/>
      </c>
      <c r="H263" t="str">
        <f t="shared" si="66"/>
        <v>JBLU-2022-Q4</v>
      </c>
      <c r="I263" s="3">
        <f>_xlfn.XLOOKUP(H263,prices!A:A,prices!F:F,"no match")</f>
        <v>7.31</v>
      </c>
      <c r="J263">
        <f>_xlfn.XLOOKUP(A263,current!$A:$A,current!$B:$B,"no match")</f>
        <v>4.63</v>
      </c>
      <c r="K263">
        <f t="shared" si="67"/>
        <v>0</v>
      </c>
      <c r="L263">
        <f t="shared" si="68"/>
        <v>0</v>
      </c>
      <c r="M263">
        <f t="shared" si="69"/>
        <v>0</v>
      </c>
      <c r="N263" t="str">
        <f t="shared" si="70"/>
        <v>SPY-2022-Q4</v>
      </c>
      <c r="O263">
        <f>_xlfn.XLOOKUP(N263,prices!$A:$A,prices!$F:$F,"no match")</f>
        <v>366.1</v>
      </c>
      <c r="P263">
        <f t="shared" si="71"/>
        <v>0</v>
      </c>
      <c r="Q263">
        <f>IF(P263="","",P263*assumptions!$B$4)</f>
        <v>0</v>
      </c>
      <c r="R263" s="10">
        <f t="shared" ca="1" si="72"/>
        <v>3.6878850102669403</v>
      </c>
      <c r="S263">
        <f ca="1">IF(E263="","",E263*1000000*(1+assumptions!$B$3)^R263)</f>
        <v>0</v>
      </c>
      <c r="T263">
        <f t="shared" si="73"/>
        <v>0</v>
      </c>
      <c r="U263">
        <f t="shared" si="63"/>
        <v>8</v>
      </c>
      <c r="V263">
        <f t="shared" si="64"/>
        <v>0</v>
      </c>
      <c r="W263">
        <f t="shared" si="74"/>
        <v>0</v>
      </c>
      <c r="X263">
        <f t="shared" si="75"/>
        <v>0</v>
      </c>
    </row>
    <row r="264" spans="1:24" x14ac:dyDescent="0.2">
      <c r="A264" t="s">
        <v>15</v>
      </c>
      <c r="B264">
        <v>2023</v>
      </c>
      <c r="C264" t="s">
        <v>7</v>
      </c>
      <c r="D264" s="1">
        <v>45016</v>
      </c>
      <c r="E264">
        <v>0</v>
      </c>
      <c r="F264" t="s">
        <v>405</v>
      </c>
      <c r="G264" t="str">
        <f t="shared" si="65"/>
        <v/>
      </c>
      <c r="H264" t="str">
        <f t="shared" si="66"/>
        <v>JBLU-2023-Q1</v>
      </c>
      <c r="I264" s="3">
        <f>_xlfn.XLOOKUP(H264,prices!A:A,prices!F:F,"no match")</f>
        <v>7.9</v>
      </c>
      <c r="J264">
        <f>_xlfn.XLOOKUP(A264,current!$A:$A,current!$B:$B,"no match")</f>
        <v>4.63</v>
      </c>
      <c r="K264">
        <f t="shared" si="67"/>
        <v>0</v>
      </c>
      <c r="L264">
        <f t="shared" si="68"/>
        <v>0</v>
      </c>
      <c r="M264">
        <f t="shared" si="69"/>
        <v>0</v>
      </c>
      <c r="N264" t="str">
        <f t="shared" si="70"/>
        <v>SPY-2023-Q1</v>
      </c>
      <c r="O264">
        <f>_xlfn.XLOOKUP(N264,prices!$A:$A,prices!$F:$F,"no match")</f>
        <v>381.76</v>
      </c>
      <c r="P264">
        <f t="shared" si="71"/>
        <v>0</v>
      </c>
      <c r="Q264">
        <f>IF(P264="","",P264*assumptions!$B$4)</f>
        <v>0</v>
      </c>
      <c r="R264" s="10">
        <f t="shared" ca="1" si="72"/>
        <v>3.4414784394250515</v>
      </c>
      <c r="S264">
        <f ca="1">IF(E264="","",E264*1000000*(1+assumptions!$B$3)^R264)</f>
        <v>0</v>
      </c>
      <c r="T264">
        <f t="shared" si="73"/>
        <v>0</v>
      </c>
      <c r="U264">
        <f t="shared" si="63"/>
        <v>8</v>
      </c>
      <c r="V264">
        <f t="shared" si="64"/>
        <v>0</v>
      </c>
      <c r="W264">
        <f t="shared" si="74"/>
        <v>0</v>
      </c>
      <c r="X264">
        <f t="shared" si="75"/>
        <v>0</v>
      </c>
    </row>
    <row r="265" spans="1:24" x14ac:dyDescent="0.2">
      <c r="A265" t="s">
        <v>15</v>
      </c>
      <c r="B265">
        <v>2023</v>
      </c>
      <c r="C265" t="s">
        <v>9</v>
      </c>
      <c r="D265" s="1">
        <v>45107</v>
      </c>
      <c r="E265">
        <v>0</v>
      </c>
      <c r="F265" t="s">
        <v>405</v>
      </c>
      <c r="G265" t="str">
        <f t="shared" si="65"/>
        <v/>
      </c>
      <c r="H265" t="str">
        <f t="shared" si="66"/>
        <v>JBLU-2023-Q2</v>
      </c>
      <c r="I265" s="3">
        <f>_xlfn.XLOOKUP(H265,prices!A:A,prices!F:F,"no match")</f>
        <v>7.27</v>
      </c>
      <c r="J265">
        <f>_xlfn.XLOOKUP(A265,current!$A:$A,current!$B:$B,"no match")</f>
        <v>4.63</v>
      </c>
      <c r="K265">
        <f t="shared" si="67"/>
        <v>0</v>
      </c>
      <c r="L265">
        <f t="shared" si="68"/>
        <v>0</v>
      </c>
      <c r="M265">
        <f t="shared" si="69"/>
        <v>0</v>
      </c>
      <c r="N265" t="str">
        <f t="shared" si="70"/>
        <v>SPY-2023-Q2</v>
      </c>
      <c r="O265">
        <f>_xlfn.XLOOKUP(N265,prices!$A:$A,prices!$F:$F,"no match")</f>
        <v>403.08</v>
      </c>
      <c r="P265">
        <f t="shared" si="71"/>
        <v>0</v>
      </c>
      <c r="Q265">
        <f>IF(P265="","",P265*assumptions!$B$4)</f>
        <v>0</v>
      </c>
      <c r="R265" s="10">
        <f t="shared" ca="1" si="72"/>
        <v>3.1923340177960302</v>
      </c>
      <c r="S265">
        <f ca="1">IF(E265="","",E265*1000000*(1+assumptions!$B$3)^R265)</f>
        <v>0</v>
      </c>
      <c r="T265">
        <f t="shared" si="73"/>
        <v>0</v>
      </c>
      <c r="U265">
        <f t="shared" si="63"/>
        <v>8</v>
      </c>
      <c r="V265">
        <f t="shared" si="64"/>
        <v>0</v>
      </c>
      <c r="W265">
        <f t="shared" si="74"/>
        <v>0</v>
      </c>
      <c r="X265">
        <f t="shared" si="75"/>
        <v>0</v>
      </c>
    </row>
    <row r="266" spans="1:24" x14ac:dyDescent="0.2">
      <c r="A266" t="s">
        <v>15</v>
      </c>
      <c r="B266">
        <v>2023</v>
      </c>
      <c r="C266" t="s">
        <v>10</v>
      </c>
      <c r="D266" s="1">
        <v>45199</v>
      </c>
      <c r="E266">
        <v>0</v>
      </c>
      <c r="F266" t="s">
        <v>405</v>
      </c>
      <c r="G266" t="str">
        <f t="shared" si="65"/>
        <v/>
      </c>
      <c r="H266" t="str">
        <f t="shared" si="66"/>
        <v>JBLU-2023-Q3</v>
      </c>
      <c r="I266" s="3">
        <f>_xlfn.XLOOKUP(H266,prices!A:A,prices!F:F,"no match")</f>
        <v>6.58</v>
      </c>
      <c r="J266">
        <f>_xlfn.XLOOKUP(A266,current!$A:$A,current!$B:$B,"no match")</f>
        <v>4.63</v>
      </c>
      <c r="K266">
        <f t="shared" si="67"/>
        <v>0</v>
      </c>
      <c r="L266">
        <f t="shared" si="68"/>
        <v>0</v>
      </c>
      <c r="M266">
        <f t="shared" si="69"/>
        <v>0</v>
      </c>
      <c r="N266" t="str">
        <f t="shared" si="70"/>
        <v>SPY-2023-Q3</v>
      </c>
      <c r="O266">
        <f>_xlfn.XLOOKUP(N266,prices!$A:$A,prices!$F:$F,"no match")</f>
        <v>428.75</v>
      </c>
      <c r="P266">
        <f t="shared" si="71"/>
        <v>0</v>
      </c>
      <c r="Q266">
        <f>IF(P266="","",P266*assumptions!$B$4)</f>
        <v>0</v>
      </c>
      <c r="R266" s="10">
        <f t="shared" ca="1" si="72"/>
        <v>2.9404517453798769</v>
      </c>
      <c r="S266">
        <f ca="1">IF(E266="","",E266*1000000*(1+assumptions!$B$3)^R266)</f>
        <v>0</v>
      </c>
      <c r="T266">
        <f t="shared" si="73"/>
        <v>0</v>
      </c>
      <c r="U266">
        <f t="shared" si="63"/>
        <v>8</v>
      </c>
      <c r="V266">
        <f t="shared" si="64"/>
        <v>0</v>
      </c>
      <c r="W266">
        <f t="shared" si="74"/>
        <v>0</v>
      </c>
      <c r="X266">
        <f t="shared" si="75"/>
        <v>0</v>
      </c>
    </row>
    <row r="267" spans="1:24" x14ac:dyDescent="0.2">
      <c r="A267" t="s">
        <v>15</v>
      </c>
      <c r="B267">
        <v>2023</v>
      </c>
      <c r="C267" t="s">
        <v>11</v>
      </c>
      <c r="D267" s="1">
        <v>45291</v>
      </c>
      <c r="E267">
        <v>0</v>
      </c>
      <c r="F267" t="s">
        <v>405</v>
      </c>
      <c r="G267" t="str">
        <f t="shared" si="65"/>
        <v/>
      </c>
      <c r="H267" t="str">
        <f t="shared" si="66"/>
        <v>JBLU-2023-Q4</v>
      </c>
      <c r="I267" s="3">
        <f>_xlfn.XLOOKUP(H267,prices!A:A,prices!F:F,"no match")</f>
        <v>4.6900000000000004</v>
      </c>
      <c r="J267">
        <f>_xlfn.XLOOKUP(A267,current!$A:$A,current!$B:$B,"no match")</f>
        <v>4.63</v>
      </c>
      <c r="K267">
        <f t="shared" si="67"/>
        <v>0</v>
      </c>
      <c r="L267">
        <f t="shared" si="68"/>
        <v>0</v>
      </c>
      <c r="M267">
        <f t="shared" si="69"/>
        <v>0</v>
      </c>
      <c r="N267" t="str">
        <f t="shared" si="70"/>
        <v>SPY-2023-Q4</v>
      </c>
      <c r="O267">
        <f>_xlfn.XLOOKUP(N267,prices!$A:$A,prices!$F:$F,"no match")</f>
        <v>430.96</v>
      </c>
      <c r="P267">
        <f t="shared" si="71"/>
        <v>0</v>
      </c>
      <c r="Q267">
        <f>IF(P267="","",P267*assumptions!$B$4)</f>
        <v>0</v>
      </c>
      <c r="R267" s="10">
        <f t="shared" ca="1" si="72"/>
        <v>2.6885694729637235</v>
      </c>
      <c r="S267">
        <f ca="1">IF(E267="","",E267*1000000*(1+assumptions!$B$3)^R267)</f>
        <v>0</v>
      </c>
      <c r="T267">
        <f t="shared" si="73"/>
        <v>0</v>
      </c>
      <c r="U267">
        <f t="shared" si="63"/>
        <v>8</v>
      </c>
      <c r="V267">
        <f t="shared" si="64"/>
        <v>0</v>
      </c>
      <c r="W267">
        <f t="shared" si="74"/>
        <v>0</v>
      </c>
      <c r="X267">
        <f t="shared" si="75"/>
        <v>0</v>
      </c>
    </row>
    <row r="268" spans="1:24" x14ac:dyDescent="0.2">
      <c r="A268" t="s">
        <v>15</v>
      </c>
      <c r="B268">
        <v>2024</v>
      </c>
      <c r="C268" t="s">
        <v>7</v>
      </c>
      <c r="D268" s="1">
        <v>45382</v>
      </c>
      <c r="E268">
        <v>0</v>
      </c>
      <c r="F268" t="s">
        <v>405</v>
      </c>
      <c r="G268" t="str">
        <f t="shared" si="65"/>
        <v/>
      </c>
      <c r="H268" t="str">
        <f t="shared" si="66"/>
        <v>JBLU-2024-Q1</v>
      </c>
      <c r="I268" s="3">
        <f>_xlfn.XLOOKUP(H268,prices!A:A,prices!F:F,"no match")</f>
        <v>6.21</v>
      </c>
      <c r="J268">
        <f>_xlfn.XLOOKUP(A268,current!$A:$A,current!$B:$B,"no match")</f>
        <v>4.63</v>
      </c>
      <c r="K268">
        <f t="shared" si="67"/>
        <v>0</v>
      </c>
      <c r="L268">
        <f t="shared" si="68"/>
        <v>0</v>
      </c>
      <c r="M268">
        <f t="shared" si="69"/>
        <v>0</v>
      </c>
      <c r="N268" t="str">
        <f t="shared" si="70"/>
        <v>SPY-2024-Q1</v>
      </c>
      <c r="O268">
        <f>_xlfn.XLOOKUP(N268,prices!$A:$A,prices!$F:$F,"no match")</f>
        <v>483.53</v>
      </c>
      <c r="P268">
        <f t="shared" si="71"/>
        <v>0</v>
      </c>
      <c r="Q268">
        <f>IF(P268="","",P268*assumptions!$B$4)</f>
        <v>0</v>
      </c>
      <c r="R268" s="10">
        <f t="shared" ca="1" si="72"/>
        <v>2.4394250513347022</v>
      </c>
      <c r="S268">
        <f ca="1">IF(E268="","",E268*1000000*(1+assumptions!$B$3)^R268)</f>
        <v>0</v>
      </c>
      <c r="T268">
        <f t="shared" si="73"/>
        <v>0</v>
      </c>
      <c r="U268">
        <f t="shared" si="63"/>
        <v>8</v>
      </c>
      <c r="V268">
        <f t="shared" si="64"/>
        <v>0</v>
      </c>
      <c r="W268">
        <f t="shared" si="74"/>
        <v>0</v>
      </c>
      <c r="X268">
        <f t="shared" si="75"/>
        <v>0</v>
      </c>
    </row>
    <row r="269" spans="1:24" x14ac:dyDescent="0.2">
      <c r="A269" t="s">
        <v>15</v>
      </c>
      <c r="B269">
        <v>2024</v>
      </c>
      <c r="C269" t="s">
        <v>9</v>
      </c>
      <c r="D269" s="1">
        <v>45473</v>
      </c>
      <c r="E269">
        <v>0</v>
      </c>
      <c r="F269" t="s">
        <v>405</v>
      </c>
      <c r="G269" t="str">
        <f t="shared" si="65"/>
        <v/>
      </c>
      <c r="H269" t="str">
        <f t="shared" si="66"/>
        <v>JBLU-2024-Q2</v>
      </c>
      <c r="I269" s="3">
        <f>_xlfn.XLOOKUP(H269,prices!A:A,prices!F:F,"no match")</f>
        <v>6.03</v>
      </c>
      <c r="J269">
        <f>_xlfn.XLOOKUP(A269,current!$A:$A,current!$B:$B,"no match")</f>
        <v>4.63</v>
      </c>
      <c r="K269">
        <f t="shared" si="67"/>
        <v>0</v>
      </c>
      <c r="L269">
        <f t="shared" si="68"/>
        <v>0</v>
      </c>
      <c r="M269">
        <f t="shared" si="69"/>
        <v>0</v>
      </c>
      <c r="N269" t="str">
        <f t="shared" si="70"/>
        <v>SPY-2024-Q2</v>
      </c>
      <c r="O269">
        <f>_xlfn.XLOOKUP(N269,prices!$A:$A,prices!$F:$F,"no match")</f>
        <v>509.8</v>
      </c>
      <c r="P269">
        <f t="shared" si="71"/>
        <v>0</v>
      </c>
      <c r="Q269">
        <f>IF(P269="","",P269*assumptions!$B$4)</f>
        <v>0</v>
      </c>
      <c r="R269" s="10">
        <f t="shared" ca="1" si="72"/>
        <v>2.1902806297056809</v>
      </c>
      <c r="S269">
        <f ca="1">IF(E269="","",E269*1000000*(1+assumptions!$B$3)^R269)</f>
        <v>0</v>
      </c>
      <c r="T269">
        <f t="shared" si="73"/>
        <v>0</v>
      </c>
      <c r="U269">
        <f t="shared" si="63"/>
        <v>8</v>
      </c>
      <c r="V269">
        <f t="shared" si="64"/>
        <v>0</v>
      </c>
      <c r="W269">
        <f t="shared" si="74"/>
        <v>0</v>
      </c>
      <c r="X269">
        <f t="shared" si="75"/>
        <v>0</v>
      </c>
    </row>
    <row r="270" spans="1:24" x14ac:dyDescent="0.2">
      <c r="A270" t="s">
        <v>15</v>
      </c>
      <c r="B270">
        <v>2024</v>
      </c>
      <c r="C270" t="s">
        <v>10</v>
      </c>
      <c r="D270" s="1">
        <v>45565</v>
      </c>
      <c r="E270">
        <v>0</v>
      </c>
      <c r="F270" t="s">
        <v>405</v>
      </c>
      <c r="G270" t="str">
        <f t="shared" si="65"/>
        <v/>
      </c>
      <c r="H270" t="str">
        <f t="shared" si="66"/>
        <v>JBLU-2024-Q3</v>
      </c>
      <c r="I270" s="3">
        <f>_xlfn.XLOOKUP(H270,prices!A:A,prices!F:F,"no match")</f>
        <v>5.63</v>
      </c>
      <c r="J270">
        <f>_xlfn.XLOOKUP(A270,current!$A:$A,current!$B:$B,"no match")</f>
        <v>4.63</v>
      </c>
      <c r="K270">
        <f t="shared" si="67"/>
        <v>0</v>
      </c>
      <c r="L270">
        <f t="shared" si="68"/>
        <v>0</v>
      </c>
      <c r="M270">
        <f t="shared" si="69"/>
        <v>0</v>
      </c>
      <c r="N270" t="str">
        <f t="shared" si="70"/>
        <v>SPY-2024-Q3</v>
      </c>
      <c r="O270">
        <f>_xlfn.XLOOKUP(N270,prices!$A:$A,prices!$F:$F,"no match")</f>
        <v>540.33000000000004</v>
      </c>
      <c r="P270">
        <f t="shared" si="71"/>
        <v>0</v>
      </c>
      <c r="Q270">
        <f>IF(P270="","",P270*assumptions!$B$4)</f>
        <v>0</v>
      </c>
      <c r="R270" s="10">
        <f t="shared" ca="1" si="72"/>
        <v>1.9383983572895278</v>
      </c>
      <c r="S270">
        <f ca="1">IF(E270="","",E270*1000000*(1+assumptions!$B$3)^R270)</f>
        <v>0</v>
      </c>
      <c r="T270">
        <f t="shared" si="73"/>
        <v>0</v>
      </c>
      <c r="U270">
        <f t="shared" si="63"/>
        <v>8</v>
      </c>
      <c r="V270">
        <f t="shared" si="64"/>
        <v>0</v>
      </c>
      <c r="W270">
        <f t="shared" si="74"/>
        <v>0</v>
      </c>
      <c r="X270">
        <f t="shared" si="75"/>
        <v>0</v>
      </c>
    </row>
    <row r="271" spans="1:24" x14ac:dyDescent="0.2">
      <c r="A271" t="s">
        <v>15</v>
      </c>
      <c r="B271">
        <v>2024</v>
      </c>
      <c r="C271" t="s">
        <v>11</v>
      </c>
      <c r="D271" s="1">
        <v>45657</v>
      </c>
      <c r="E271">
        <v>0</v>
      </c>
      <c r="F271" t="s">
        <v>405</v>
      </c>
      <c r="G271" t="str">
        <f t="shared" si="65"/>
        <v/>
      </c>
      <c r="H271" t="str">
        <f t="shared" si="66"/>
        <v>JBLU-2024-Q4</v>
      </c>
      <c r="I271" s="3">
        <f>_xlfn.XLOOKUP(H271,prices!A:A,prices!F:F,"no match")</f>
        <v>6.78</v>
      </c>
      <c r="J271">
        <f>_xlfn.XLOOKUP(A271,current!$A:$A,current!$B:$B,"no match")</f>
        <v>4.63</v>
      </c>
      <c r="K271">
        <f t="shared" si="67"/>
        <v>0</v>
      </c>
      <c r="L271">
        <f t="shared" si="68"/>
        <v>0</v>
      </c>
      <c r="M271">
        <f t="shared" si="69"/>
        <v>0</v>
      </c>
      <c r="N271" t="str">
        <f t="shared" si="70"/>
        <v>SPY-2024-Q4</v>
      </c>
      <c r="O271">
        <f>_xlfn.XLOOKUP(N271,prices!$A:$A,prices!$F:$F,"no match")</f>
        <v>577.52</v>
      </c>
      <c r="P271">
        <f t="shared" si="71"/>
        <v>0</v>
      </c>
      <c r="Q271">
        <f>IF(P271="","",P271*assumptions!$B$4)</f>
        <v>0</v>
      </c>
      <c r="R271" s="10">
        <f t="shared" ca="1" si="72"/>
        <v>1.6865160848733745</v>
      </c>
      <c r="S271">
        <f ca="1">IF(E271="","",E271*1000000*(1+assumptions!$B$3)^R271)</f>
        <v>0</v>
      </c>
      <c r="T271">
        <f t="shared" si="73"/>
        <v>0</v>
      </c>
      <c r="U271">
        <f t="shared" si="63"/>
        <v>8</v>
      </c>
      <c r="V271">
        <f t="shared" si="64"/>
        <v>0</v>
      </c>
      <c r="W271">
        <f t="shared" si="74"/>
        <v>0</v>
      </c>
      <c r="X271">
        <f t="shared" si="75"/>
        <v>0</v>
      </c>
    </row>
    <row r="272" spans="1:24" x14ac:dyDescent="0.2">
      <c r="A272" t="s">
        <v>15</v>
      </c>
      <c r="B272">
        <v>2025</v>
      </c>
      <c r="C272" t="s">
        <v>7</v>
      </c>
      <c r="D272" s="1">
        <v>45747</v>
      </c>
      <c r="E272">
        <v>0</v>
      </c>
      <c r="F272" t="s">
        <v>405</v>
      </c>
      <c r="G272" t="str">
        <f t="shared" si="65"/>
        <v/>
      </c>
      <c r="H272" t="str">
        <f t="shared" si="66"/>
        <v>JBLU-2025-Q1</v>
      </c>
      <c r="I272" s="3">
        <f>_xlfn.XLOOKUP(H272,prices!A:A,prices!F:F,"no match")</f>
        <v>6.57</v>
      </c>
      <c r="J272">
        <f>_xlfn.XLOOKUP(A272,current!$A:$A,current!$B:$B,"no match")</f>
        <v>4.63</v>
      </c>
      <c r="K272">
        <f t="shared" si="67"/>
        <v>0</v>
      </c>
      <c r="L272">
        <f t="shared" si="68"/>
        <v>0</v>
      </c>
      <c r="M272">
        <f t="shared" si="69"/>
        <v>0</v>
      </c>
      <c r="N272" t="str">
        <f t="shared" si="70"/>
        <v>SPY-2025-Q1</v>
      </c>
      <c r="O272">
        <f>_xlfn.XLOOKUP(N272,prices!$A:$A,prices!$F:$F,"no match")</f>
        <v>578.08000000000004</v>
      </c>
      <c r="P272">
        <f t="shared" si="71"/>
        <v>0</v>
      </c>
      <c r="Q272">
        <f>IF(P272="","",P272*assumptions!$B$4)</f>
        <v>0</v>
      </c>
      <c r="R272" s="10">
        <f t="shared" ca="1" si="72"/>
        <v>1.4401095140314852</v>
      </c>
      <c r="S272">
        <f ca="1">IF(E272="","",E272*1000000*(1+assumptions!$B$3)^R272)</f>
        <v>0</v>
      </c>
      <c r="T272">
        <f t="shared" si="73"/>
        <v>0</v>
      </c>
      <c r="U272">
        <f t="shared" si="63"/>
        <v>8</v>
      </c>
      <c r="V272">
        <f t="shared" si="64"/>
        <v>0</v>
      </c>
      <c r="W272">
        <f t="shared" si="74"/>
        <v>0</v>
      </c>
      <c r="X272">
        <f t="shared" si="75"/>
        <v>0</v>
      </c>
    </row>
    <row r="273" spans="1:24" x14ac:dyDescent="0.2">
      <c r="A273" t="s">
        <v>15</v>
      </c>
      <c r="B273">
        <v>2025</v>
      </c>
      <c r="C273" t="s">
        <v>9</v>
      </c>
      <c r="D273" s="1">
        <v>45838</v>
      </c>
      <c r="E273">
        <v>0</v>
      </c>
      <c r="F273" t="s">
        <v>405</v>
      </c>
      <c r="G273" t="str">
        <f t="shared" si="65"/>
        <v/>
      </c>
      <c r="H273" t="str">
        <f t="shared" si="66"/>
        <v>JBLU-2025-Q2</v>
      </c>
      <c r="I273" s="3">
        <f>_xlfn.XLOOKUP(H273,prices!A:A,prices!F:F,"no match")</f>
        <v>4.4800000000000004</v>
      </c>
      <c r="J273">
        <f>_xlfn.XLOOKUP(A273,current!$A:$A,current!$B:$B,"no match")</f>
        <v>4.63</v>
      </c>
      <c r="K273">
        <f t="shared" si="67"/>
        <v>0</v>
      </c>
      <c r="L273">
        <f t="shared" si="68"/>
        <v>0</v>
      </c>
      <c r="M273">
        <f t="shared" si="69"/>
        <v>0</v>
      </c>
      <c r="N273" t="str">
        <f t="shared" si="70"/>
        <v>SPY-2025-Q2</v>
      </c>
      <c r="O273">
        <f>_xlfn.XLOOKUP(N273,prices!$A:$A,prices!$F:$F,"no match")</f>
        <v>563.91</v>
      </c>
      <c r="P273">
        <f t="shared" si="71"/>
        <v>0</v>
      </c>
      <c r="Q273">
        <f>IF(P273="","",P273*assumptions!$B$4)</f>
        <v>0</v>
      </c>
      <c r="R273" s="10">
        <f t="shared" ca="1" si="72"/>
        <v>1.1909650924024642</v>
      </c>
      <c r="S273">
        <f ca="1">IF(E273="","",E273*1000000*(1+assumptions!$B$3)^R273)</f>
        <v>0</v>
      </c>
      <c r="T273">
        <f t="shared" si="73"/>
        <v>0</v>
      </c>
      <c r="U273">
        <f t="shared" si="63"/>
        <v>8</v>
      </c>
      <c r="V273">
        <f t="shared" si="64"/>
        <v>0</v>
      </c>
      <c r="W273">
        <f t="shared" si="74"/>
        <v>0</v>
      </c>
      <c r="X273">
        <f t="shared" si="75"/>
        <v>0</v>
      </c>
    </row>
    <row r="274" spans="1:24" x14ac:dyDescent="0.2">
      <c r="A274" t="s">
        <v>15</v>
      </c>
      <c r="B274">
        <v>2025</v>
      </c>
      <c r="C274" t="s">
        <v>10</v>
      </c>
      <c r="D274" s="1">
        <v>45930</v>
      </c>
      <c r="E274">
        <v>0</v>
      </c>
      <c r="F274" t="s">
        <v>405</v>
      </c>
      <c r="G274" t="str">
        <f t="shared" si="65"/>
        <v/>
      </c>
      <c r="H274" t="str">
        <f t="shared" si="66"/>
        <v>JBLU-2025-Q3</v>
      </c>
      <c r="I274" s="3">
        <f>_xlfn.XLOOKUP(H274,prices!A:A,prices!F:F,"no match")</f>
        <v>4.8</v>
      </c>
      <c r="J274">
        <f>_xlfn.XLOOKUP(A274,current!$A:$A,current!$B:$B,"no match")</f>
        <v>4.63</v>
      </c>
      <c r="K274">
        <f t="shared" si="67"/>
        <v>0</v>
      </c>
      <c r="L274">
        <f t="shared" si="68"/>
        <v>0</v>
      </c>
      <c r="M274">
        <f t="shared" si="69"/>
        <v>0</v>
      </c>
      <c r="N274" t="str">
        <f t="shared" si="70"/>
        <v>SPY-2025-Q3</v>
      </c>
      <c r="O274">
        <f>_xlfn.XLOOKUP(N274,prices!$A:$A,prices!$F:$F,"no match")</f>
        <v>634.23</v>
      </c>
      <c r="P274">
        <f t="shared" si="71"/>
        <v>0</v>
      </c>
      <c r="Q274">
        <f>IF(P274="","",P274*assumptions!$B$4)</f>
        <v>0</v>
      </c>
      <c r="R274" s="10">
        <f t="shared" ca="1" si="72"/>
        <v>0.93908281998631071</v>
      </c>
      <c r="S274">
        <f ca="1">IF(E274="","",E274*1000000*(1+assumptions!$B$3)^R274)</f>
        <v>0</v>
      </c>
      <c r="T274">
        <f t="shared" si="73"/>
        <v>0</v>
      </c>
      <c r="U274">
        <f t="shared" si="63"/>
        <v>8</v>
      </c>
      <c r="V274">
        <f t="shared" si="64"/>
        <v>0</v>
      </c>
      <c r="W274">
        <f t="shared" si="74"/>
        <v>0</v>
      </c>
      <c r="X274">
        <f t="shared" si="75"/>
        <v>0</v>
      </c>
    </row>
    <row r="275" spans="1:24" x14ac:dyDescent="0.2">
      <c r="A275" t="s">
        <v>15</v>
      </c>
      <c r="B275">
        <v>2025</v>
      </c>
      <c r="C275" t="s">
        <v>11</v>
      </c>
      <c r="D275" s="1">
        <v>46022</v>
      </c>
      <c r="E275">
        <v>0</v>
      </c>
      <c r="F275" t="s">
        <v>405</v>
      </c>
      <c r="G275" t="str">
        <f t="shared" si="65"/>
        <v/>
      </c>
      <c r="H275" t="str">
        <f t="shared" si="66"/>
        <v>JBLU-2025-Q4</v>
      </c>
      <c r="I275" s="3">
        <f>_xlfn.XLOOKUP(H275,prices!A:A,prices!F:F,"no match")</f>
        <v>4.5599999999999996</v>
      </c>
      <c r="J275">
        <f>_xlfn.XLOOKUP(A275,current!$A:$A,current!$B:$B,"no match")</f>
        <v>4.63</v>
      </c>
      <c r="K275">
        <f t="shared" si="67"/>
        <v>0</v>
      </c>
      <c r="L275">
        <f t="shared" si="68"/>
        <v>0</v>
      </c>
      <c r="M275">
        <f t="shared" si="69"/>
        <v>0</v>
      </c>
      <c r="N275" t="str">
        <f t="shared" si="70"/>
        <v>SPY-2025-Q4</v>
      </c>
      <c r="O275">
        <f>_xlfn.XLOOKUP(N275,prices!$A:$A,prices!$F:$F,"no match")</f>
        <v>670.58</v>
      </c>
      <c r="P275">
        <f t="shared" si="71"/>
        <v>0</v>
      </c>
      <c r="Q275">
        <f>IF(P275="","",P275*assumptions!$B$4)</f>
        <v>0</v>
      </c>
      <c r="R275" s="10">
        <f t="shared" ca="1" si="72"/>
        <v>0.68720054757015747</v>
      </c>
      <c r="S275">
        <f ca="1">IF(E275="","",E275*1000000*(1+assumptions!$B$3)^R275)</f>
        <v>0</v>
      </c>
      <c r="T275">
        <f t="shared" si="73"/>
        <v>0</v>
      </c>
      <c r="U275">
        <f t="shared" si="63"/>
        <v>8</v>
      </c>
      <c r="V275">
        <f t="shared" si="64"/>
        <v>0</v>
      </c>
      <c r="W275">
        <f t="shared" si="74"/>
        <v>0</v>
      </c>
      <c r="X275">
        <f t="shared" si="75"/>
        <v>0</v>
      </c>
    </row>
    <row r="276" spans="1:24" x14ac:dyDescent="0.2">
      <c r="A276" t="s">
        <v>15</v>
      </c>
      <c r="B276">
        <v>2026</v>
      </c>
      <c r="C276" t="s">
        <v>7</v>
      </c>
      <c r="D276" s="1">
        <v>46112</v>
      </c>
      <c r="E276">
        <v>0</v>
      </c>
      <c r="F276" t="s">
        <v>405</v>
      </c>
      <c r="G276" t="str">
        <f t="shared" si="65"/>
        <v/>
      </c>
      <c r="H276" t="str">
        <f t="shared" si="66"/>
        <v>JBLU-2026-Q1</v>
      </c>
      <c r="I276" s="3">
        <f>_xlfn.XLOOKUP(H276,prices!A:A,prices!F:F,"no match")</f>
        <v>5.07</v>
      </c>
      <c r="J276">
        <f>_xlfn.XLOOKUP(A276,current!$A:$A,current!$B:$B,"no match")</f>
        <v>4.63</v>
      </c>
      <c r="K276">
        <f t="shared" si="67"/>
        <v>0</v>
      </c>
      <c r="L276">
        <f t="shared" si="68"/>
        <v>0</v>
      </c>
      <c r="M276">
        <f t="shared" si="69"/>
        <v>0</v>
      </c>
      <c r="N276" t="str">
        <f t="shared" si="70"/>
        <v>SPY-2026-Q1</v>
      </c>
      <c r="O276">
        <f>_xlfn.XLOOKUP(N276,prices!$A:$A,prices!$F:$F,"no match")</f>
        <v>676.53</v>
      </c>
      <c r="P276">
        <f t="shared" si="71"/>
        <v>0</v>
      </c>
      <c r="Q276">
        <f>IF(P276="","",P276*assumptions!$B$4)</f>
        <v>0</v>
      </c>
      <c r="R276" s="10">
        <f t="shared" ca="1" si="72"/>
        <v>0.44079397672826831</v>
      </c>
      <c r="S276">
        <f ca="1">IF(E276="","",E276*1000000*(1+assumptions!$B$3)^R276)</f>
        <v>0</v>
      </c>
      <c r="T276">
        <f t="shared" si="73"/>
        <v>0</v>
      </c>
      <c r="U276">
        <f t="shared" si="63"/>
        <v>8</v>
      </c>
      <c r="V276">
        <f t="shared" si="64"/>
        <v>0</v>
      </c>
      <c r="W276">
        <f t="shared" si="74"/>
        <v>0</v>
      </c>
      <c r="X276">
        <f t="shared" si="75"/>
        <v>0</v>
      </c>
    </row>
    <row r="277" spans="1:24" x14ac:dyDescent="0.2">
      <c r="A277" t="s">
        <v>15</v>
      </c>
      <c r="B277">
        <v>2026</v>
      </c>
      <c r="C277" t="s">
        <v>9</v>
      </c>
      <c r="D277" s="1">
        <v>46203</v>
      </c>
      <c r="E277">
        <v>0</v>
      </c>
      <c r="F277" t="s">
        <v>405</v>
      </c>
      <c r="G277" t="str">
        <f t="shared" si="65"/>
        <v/>
      </c>
      <c r="H277" t="str">
        <f t="shared" si="66"/>
        <v>JBLU-2026-Q2</v>
      </c>
      <c r="I277" s="3">
        <f>_xlfn.XLOOKUP(H277,prices!A:A,prices!F:F,"no match")</f>
        <v>5.09</v>
      </c>
      <c r="J277">
        <f>_xlfn.XLOOKUP(A277,current!$A:$A,current!$B:$B,"no match")</f>
        <v>4.63</v>
      </c>
      <c r="K277">
        <f t="shared" si="67"/>
        <v>0</v>
      </c>
      <c r="L277">
        <f t="shared" si="68"/>
        <v>0</v>
      </c>
      <c r="M277">
        <f t="shared" si="69"/>
        <v>0</v>
      </c>
      <c r="N277" t="str">
        <f t="shared" si="70"/>
        <v>SPY-2026-Q2</v>
      </c>
      <c r="O277">
        <f>_xlfn.XLOOKUP(N277,prices!$A:$A,prices!$F:$F,"no match")</f>
        <v>723.39</v>
      </c>
      <c r="P277">
        <f t="shared" si="71"/>
        <v>0</v>
      </c>
      <c r="Q277">
        <f>IF(P277="","",P277*assumptions!$B$4)</f>
        <v>0</v>
      </c>
      <c r="R277" s="10">
        <f t="shared" ca="1" si="72"/>
        <v>0.19164955509924708</v>
      </c>
      <c r="S277">
        <f ca="1">IF(E277="","",E277*1000000*(1+assumptions!$B$3)^R277)</f>
        <v>0</v>
      </c>
      <c r="T277">
        <f t="shared" si="73"/>
        <v>0</v>
      </c>
      <c r="U277">
        <f t="shared" si="63"/>
        <v>8</v>
      </c>
      <c r="V277">
        <f t="shared" si="64"/>
        <v>0</v>
      </c>
      <c r="W277">
        <f t="shared" si="74"/>
        <v>0</v>
      </c>
      <c r="X277">
        <f t="shared" si="75"/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E1C27-4C65-034E-BFAB-B52C457525EA}">
  <dimension ref="A1:Q17"/>
  <sheetViews>
    <sheetView topLeftCell="D1" zoomScale="190" workbookViewId="0">
      <selection activeCell="O1" sqref="O1:O1048576"/>
    </sheetView>
  </sheetViews>
  <sheetFormatPr baseColWidth="10" defaultRowHeight="16" x14ac:dyDescent="0.2"/>
  <cols>
    <col min="1" max="1" width="12.33203125" customWidth="1"/>
    <col min="2" max="2" width="15" style="5" customWidth="1"/>
    <col min="3" max="3" width="13.83203125" style="6" customWidth="1"/>
    <col min="4" max="4" width="18.6640625" style="9" customWidth="1"/>
    <col min="5" max="5" width="16.83203125" style="11" customWidth="1"/>
    <col min="6" max="6" width="15.6640625" style="7" customWidth="1"/>
    <col min="7" max="7" width="16.6640625" style="4" customWidth="1"/>
    <col min="8" max="8" width="19" style="1" customWidth="1"/>
    <col min="9" max="9" width="14.6640625" style="10" customWidth="1"/>
    <col min="10" max="10" width="14.83203125" style="4" customWidth="1"/>
    <col min="11" max="11" width="16.1640625" style="6" customWidth="1"/>
    <col min="12" max="12" width="20" style="6" customWidth="1"/>
    <col min="15" max="15" width="10.83203125" style="6"/>
    <col min="17" max="17" width="17.33203125" style="4" customWidth="1"/>
  </cols>
  <sheetData>
    <row r="1" spans="1:17" x14ac:dyDescent="0.2">
      <c r="A1" s="2" t="s">
        <v>0</v>
      </c>
      <c r="B1" s="5" t="s">
        <v>309</v>
      </c>
      <c r="C1" s="6" t="s">
        <v>310</v>
      </c>
      <c r="D1" s="9" t="s">
        <v>311</v>
      </c>
      <c r="E1" s="12" t="s">
        <v>312</v>
      </c>
      <c r="F1" s="7" t="s">
        <v>313</v>
      </c>
      <c r="G1" s="4" t="s">
        <v>314</v>
      </c>
      <c r="H1" s="1" t="s">
        <v>317</v>
      </c>
      <c r="I1" s="10" t="s">
        <v>315</v>
      </c>
      <c r="J1" s="4" t="s">
        <v>318</v>
      </c>
      <c r="K1" s="6" t="s">
        <v>377</v>
      </c>
      <c r="L1" s="6" t="s">
        <v>378</v>
      </c>
      <c r="M1" t="s">
        <v>379</v>
      </c>
      <c r="N1" t="s">
        <v>380</v>
      </c>
      <c r="O1" s="6" t="s">
        <v>386</v>
      </c>
      <c r="P1" t="s">
        <v>387</v>
      </c>
      <c r="Q1" s="4" t="s">
        <v>388</v>
      </c>
    </row>
    <row r="2" spans="1:17" x14ac:dyDescent="0.2">
      <c r="A2" s="2" t="s">
        <v>6</v>
      </c>
      <c r="B2" s="5">
        <f>SUMIFS(buybacks!$E:$E,buybacks!$A:$A,$A2)</f>
        <v>12107</v>
      </c>
      <c r="C2" s="6">
        <f>SUMIFS(buybacks!$K:$K,buybacks!$A:$A,$A2)</f>
        <v>318373894.56136388</v>
      </c>
      <c r="D2" s="9">
        <f>SUMIFS(buybacks!$L:$L,buybacks!$A:$A,$A2)/1000000</f>
        <v>4180.249235590707</v>
      </c>
      <c r="E2" s="11">
        <f>D2-B2</f>
        <v>-7926.750764409293</v>
      </c>
      <c r="F2" s="8">
        <f>B2*1000000/C2</f>
        <v>38.027615350436584</v>
      </c>
      <c r="G2" s="4">
        <f>D2/B2-1</f>
        <v>-0.6547246026603859</v>
      </c>
      <c r="H2" s="1">
        <f>SUMIFS(buybacks!$M:$M,buybacks!$A:$A,$A2)/B2</f>
        <v>42694.073511191869</v>
      </c>
      <c r="I2" s="10">
        <f t="shared" ref="I2:I7" ca="1" si="0">(TODAY()-H2)/365.25</f>
        <v>9.7985667044712681</v>
      </c>
      <c r="J2" s="4">
        <f t="shared" ref="J2:J7" ca="1" si="1">(D2/B2)^(1/I2)-1</f>
        <v>-0.10284568379989945</v>
      </c>
      <c r="K2" s="6">
        <f>SUMIFS(buybacks!$Q:$Q,buybacks!$A:$A,$A2)/1000000</f>
        <v>49644.0826577181</v>
      </c>
      <c r="L2" s="6">
        <f ca="1">SUMIFS(buybacks!$S:$S,buybacks!$A:$A,$A2)/1000000</f>
        <v>17717.607261080593</v>
      </c>
      <c r="M2" s="9">
        <f t="shared" ref="M2:M7" si="2">D2-K2</f>
        <v>-45463.833422127391</v>
      </c>
      <c r="N2" s="9">
        <f t="shared" ref="N2:N7" ca="1" si="3">D2-L2</f>
        <v>-13537.358025489886</v>
      </c>
      <c r="O2" s="6">
        <f>SUMIFS(buybacks!$X:$X,buybacks!$A:$A,$A2)/1000000</f>
        <v>5308.8703570295656</v>
      </c>
      <c r="P2" s="9">
        <f t="shared" ref="P2:P7" si="4">D2-O2</f>
        <v>-1128.6211214388586</v>
      </c>
      <c r="Q2" s="4">
        <f t="shared" ref="Q2:Q7" si="5">D2/O2-1</f>
        <v>-0.21259157702813969</v>
      </c>
    </row>
    <row r="3" spans="1:17" x14ac:dyDescent="0.2">
      <c r="A3" s="2" t="s">
        <v>13</v>
      </c>
      <c r="B3" s="5">
        <f>SUMIFS(buybacks!$E:$E,buybacks!$A:$A,$A3)</f>
        <v>2198</v>
      </c>
      <c r="C3" s="6">
        <f>SUMIFS(buybacks!$K:$K,buybacks!$A:$A,$A3)</f>
        <v>41442996.416633785</v>
      </c>
      <c r="D3" s="9">
        <f>SUMIFS(buybacks!$L:$L,buybacks!$A:$A,$A3)/1000000</f>
        <v>1742.2635693552843</v>
      </c>
      <c r="E3" s="11">
        <f t="shared" ref="E3:E7" si="6">D3-B3</f>
        <v>-455.73643064471571</v>
      </c>
      <c r="F3" s="8">
        <f t="shared" ref="F3:F7" si="7">B3*1000000/C3</f>
        <v>53.036705596842388</v>
      </c>
      <c r="G3" s="4">
        <f t="shared" ref="G3:G7" si="8">D3/B3-1</f>
        <v>-0.20734141521597627</v>
      </c>
      <c r="H3" s="1">
        <f>SUMIFS(buybacks!$M:$M,buybacks!$A:$A,$A3)/B3</f>
        <v>44394.332575068242</v>
      </c>
      <c r="I3" s="10">
        <f t="shared" ca="1" si="0"/>
        <v>5.1435110881088528</v>
      </c>
      <c r="J3" s="4">
        <f t="shared" ca="1" si="1"/>
        <v>-4.4170652873019689E-2</v>
      </c>
      <c r="K3" s="6">
        <f>SUMIFS(buybacks!$Q:$Q,buybacks!$A:$A,$A3)/1000000</f>
        <v>5695.7566342501623</v>
      </c>
      <c r="L3" s="6">
        <f ca="1">SUMIFS(buybacks!$S:$S,buybacks!$A:$A,$A3)/1000000</f>
        <v>2723.9003550533721</v>
      </c>
      <c r="M3" s="9">
        <f t="shared" si="2"/>
        <v>-3953.493064894878</v>
      </c>
      <c r="N3" s="9">
        <f t="shared" ca="1" si="3"/>
        <v>-981.63678569808781</v>
      </c>
      <c r="O3" s="6">
        <f>SUMIFS(buybacks!$X:$X,buybacks!$A:$A,$A3)/1000000</f>
        <v>1707.4744970185527</v>
      </c>
      <c r="P3" s="9">
        <f t="shared" si="4"/>
        <v>34.789072336731579</v>
      </c>
      <c r="Q3" s="4">
        <f t="shared" si="5"/>
        <v>2.0374578008325983E-2</v>
      </c>
    </row>
    <row r="4" spans="1:17" x14ac:dyDescent="0.2">
      <c r="A4" s="2" t="s">
        <v>14</v>
      </c>
      <c r="B4" s="5">
        <f>SUMIFS(buybacks!$E:$E,buybacks!$A:$A,$A4)</f>
        <v>10424</v>
      </c>
      <c r="C4" s="6">
        <f>SUMIFS(buybacks!$K:$K,buybacks!$A:$A,$A4)</f>
        <v>241610512.60829577</v>
      </c>
      <c r="D4" s="9">
        <f>SUMIFS(buybacks!$L:$L,buybacks!$A:$A,$A4)/1000000</f>
        <v>19369.914795807068</v>
      </c>
      <c r="E4" s="11">
        <f t="shared" si="6"/>
        <v>8945.914795807068</v>
      </c>
      <c r="F4" s="8">
        <f t="shared" si="7"/>
        <v>43.14381807094469</v>
      </c>
      <c r="G4" s="4">
        <f t="shared" si="8"/>
        <v>0.85820364503137636</v>
      </c>
      <c r="H4" s="1">
        <f>SUMIFS(buybacks!$M:$M,buybacks!$A:$A,$A4)/B4</f>
        <v>42920.296431312359</v>
      </c>
      <c r="I4" s="10">
        <f t="shared" ca="1" si="0"/>
        <v>9.1792021045520613</v>
      </c>
      <c r="J4" s="4">
        <f t="shared" ca="1" si="1"/>
        <v>6.9831902567542015E-2</v>
      </c>
      <c r="K4" s="6">
        <f>SUMIFS(buybacks!$Q:$Q,buybacks!$A:$A,$A4)/1000000</f>
        <v>39542.616771610643</v>
      </c>
      <c r="L4" s="6">
        <f ca="1">SUMIFS(buybacks!$S:$S,buybacks!$A:$A,$A4)/1000000</f>
        <v>14900.060712543513</v>
      </c>
      <c r="M4" s="9">
        <f t="shared" si="2"/>
        <v>-20172.701975803575</v>
      </c>
      <c r="N4" s="9">
        <f t="shared" ca="1" si="3"/>
        <v>4469.8540832635554</v>
      </c>
      <c r="O4" s="6">
        <f>SUMIFS(buybacks!$X:$X,buybacks!$A:$A,$A4)/1000000</f>
        <v>18767.098400020619</v>
      </c>
      <c r="P4" s="9">
        <f t="shared" si="4"/>
        <v>602.81639578644899</v>
      </c>
      <c r="Q4" s="4">
        <f t="shared" si="5"/>
        <v>3.2120916240615305E-2</v>
      </c>
    </row>
    <row r="5" spans="1:17" x14ac:dyDescent="0.2">
      <c r="A5" s="2" t="s">
        <v>15</v>
      </c>
      <c r="B5" s="5">
        <f>SUMIFS(buybacks!$E:$E,buybacks!$A:$A,$A5)</f>
        <v>1570</v>
      </c>
      <c r="C5" s="6">
        <f>SUMIFS(buybacks!$K:$K,buybacks!$A:$A,$A5)</f>
        <v>85263319.352615833</v>
      </c>
      <c r="D5" s="9">
        <f>SUMIFS(buybacks!$L:$L,buybacks!$A:$A,$A5)/1000000</f>
        <v>394.76916860261133</v>
      </c>
      <c r="E5" s="11">
        <f t="shared" si="6"/>
        <v>-1175.2308313973886</v>
      </c>
      <c r="F5" s="8">
        <f t="shared" si="7"/>
        <v>18.41354537825454</v>
      </c>
      <c r="G5" s="4">
        <f t="shared" si="8"/>
        <v>-0.74855466967986539</v>
      </c>
      <c r="H5" s="1">
        <f>SUMIFS(buybacks!$M:$M,buybacks!$A:$A,$A5)/B5</f>
        <v>43475.420382165605</v>
      </c>
      <c r="I5" s="10">
        <f t="shared" ca="1" si="0"/>
        <v>7.6593555587526225</v>
      </c>
      <c r="J5" s="4">
        <f t="shared" ca="1" si="1"/>
        <v>-0.16493104071772102</v>
      </c>
      <c r="K5" s="6">
        <f>SUMIFS(buybacks!$Q:$Q,buybacks!$A:$A,$A5)/1000000</f>
        <v>4892.2703517205073</v>
      </c>
      <c r="L5" s="6">
        <f ca="1">SUMIFS(buybacks!$S:$S,buybacks!$A:$A,$A5)/1000000</f>
        <v>2114.7514774113506</v>
      </c>
      <c r="M5" s="9">
        <f t="shared" si="2"/>
        <v>-4497.5011831178963</v>
      </c>
      <c r="N5" s="9">
        <f t="shared" ca="1" si="3"/>
        <v>-1719.9823088087392</v>
      </c>
      <c r="O5" s="6">
        <f>SUMIFS(buybacks!$X:$X,buybacks!$A:$A,$A5)/1000000</f>
        <v>388.25348875790661</v>
      </c>
      <c r="P5" s="9">
        <f t="shared" si="4"/>
        <v>6.5156798447047208</v>
      </c>
      <c r="Q5" s="4">
        <f t="shared" si="5"/>
        <v>1.6782025231890652E-2</v>
      </c>
    </row>
    <row r="6" spans="1:17" x14ac:dyDescent="0.2">
      <c r="A6" s="2" t="s">
        <v>16</v>
      </c>
      <c r="B6" s="5">
        <f>SUMIFS(buybacks!$E:$E,buybacks!$A:$A,$A6)</f>
        <v>13031</v>
      </c>
      <c r="C6" s="6">
        <f>SUMIFS(buybacks!$K:$K,buybacks!$A:$A,$A6)</f>
        <v>326556854.27021646</v>
      </c>
      <c r="D6" s="9">
        <f>SUMIFS(buybacks!$L:$L,buybacks!$A:$A,$A6)/1000000</f>
        <v>12938.182566185982</v>
      </c>
      <c r="E6" s="11">
        <f t="shared" si="6"/>
        <v>-92.817433814017932</v>
      </c>
      <c r="F6" s="8">
        <f t="shared" si="7"/>
        <v>39.904230548525618</v>
      </c>
      <c r="G6" s="4">
        <f t="shared" si="8"/>
        <v>-7.1228174210742345E-3</v>
      </c>
      <c r="H6" s="1">
        <f>SUMIFS(buybacks!$M:$M,buybacks!$A:$A,$A6)/B6</f>
        <v>43953.892333665877</v>
      </c>
      <c r="I6" s="10">
        <f t="shared" ca="1" si="0"/>
        <v>6.3493707497169689</v>
      </c>
      <c r="J6" s="4">
        <f t="shared" ca="1" si="1"/>
        <v>-1.1251955030041616E-3</v>
      </c>
      <c r="K6" s="6">
        <f>SUMIFS(buybacks!$Q:$Q,buybacks!$A:$A,$A6)/1000000</f>
        <v>37501.222662426764</v>
      </c>
      <c r="L6" s="6">
        <f ca="1">SUMIFS(buybacks!$S:$S,buybacks!$A:$A,$A6)/1000000</f>
        <v>16841.561265323104</v>
      </c>
      <c r="M6" s="9">
        <f t="shared" si="2"/>
        <v>-24563.04009624078</v>
      </c>
      <c r="N6" s="9">
        <f t="shared" ca="1" si="3"/>
        <v>-3903.3786991371217</v>
      </c>
      <c r="O6" s="6">
        <f>SUMIFS(buybacks!$X:$X,buybacks!$A:$A,$A6)/1000000</f>
        <v>12762.788989143131</v>
      </c>
      <c r="P6" s="9">
        <f t="shared" si="4"/>
        <v>175.39357704285067</v>
      </c>
      <c r="Q6" s="4">
        <f t="shared" si="5"/>
        <v>1.3742574384960182E-2</v>
      </c>
    </row>
    <row r="7" spans="1:17" x14ac:dyDescent="0.2">
      <c r="A7" s="2" t="s">
        <v>17</v>
      </c>
      <c r="B7" s="5">
        <f>SUMIFS(buybacks!$E:$E,buybacks!$A:$A,$A7)</f>
        <v>9750</v>
      </c>
      <c r="C7" s="6">
        <f>SUMIFS(buybacks!$K:$K,buybacks!$A:$A,$A7)</f>
        <v>151036328.64633888</v>
      </c>
      <c r="D7" s="9">
        <f>SUMIFS(buybacks!$L:$L,buybacks!$A:$A,$A7)/1000000</f>
        <v>16822.426284629229</v>
      </c>
      <c r="E7" s="11">
        <f t="shared" si="6"/>
        <v>7072.4262846292295</v>
      </c>
      <c r="F7" s="8">
        <f t="shared" si="7"/>
        <v>64.554005565311655</v>
      </c>
      <c r="G7" s="4">
        <f t="shared" si="8"/>
        <v>0.72537705483376702</v>
      </c>
      <c r="H7" s="1">
        <f>SUMIFS(buybacks!$M:$M,buybacks!$A:$A,$A7)/B7</f>
        <v>43192.63394871795</v>
      </c>
      <c r="I7" s="10">
        <f t="shared" ca="1" si="0"/>
        <v>8.4335826181575619</v>
      </c>
      <c r="J7" s="4">
        <f t="shared" ca="1" si="1"/>
        <v>6.6812716179027287E-2</v>
      </c>
      <c r="K7" s="6">
        <f>SUMIFS(buybacks!$Q:$Q,buybacks!$A:$A,$A7)/1000000</f>
        <v>34885.112863274284</v>
      </c>
      <c r="L7" s="6">
        <f ca="1">SUMIFS(buybacks!$S:$S,buybacks!$A:$A,$A7)/1000000</f>
        <v>13580.044668107705</v>
      </c>
      <c r="M7" s="9">
        <f t="shared" si="2"/>
        <v>-18062.686578645054</v>
      </c>
      <c r="N7" s="9">
        <f t="shared" ca="1" si="3"/>
        <v>3242.3816165215248</v>
      </c>
      <c r="O7" s="6">
        <f>SUMIFS(buybacks!$X:$X,buybacks!$A:$A,$A7)/1000000</f>
        <v>15618.728141166792</v>
      </c>
      <c r="P7" s="9">
        <f t="shared" si="4"/>
        <v>1203.6981434624377</v>
      </c>
      <c r="Q7" s="4">
        <f t="shared" si="5"/>
        <v>7.7067616042935772E-2</v>
      </c>
    </row>
    <row r="17" spans="10:10" x14ac:dyDescent="0.2">
      <c r="J17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BA814-E75D-994D-A823-7A814E13EAB6}">
  <dimension ref="A1:O7"/>
  <sheetViews>
    <sheetView workbookViewId="0">
      <selection activeCell="M4" sqref="M4"/>
    </sheetView>
  </sheetViews>
  <sheetFormatPr baseColWidth="10" defaultRowHeight="16" x14ac:dyDescent="0.2"/>
  <cols>
    <col min="14" max="14" width="10.83203125" style="20"/>
    <col min="15" max="15" width="39.83203125" customWidth="1"/>
  </cols>
  <sheetData>
    <row r="1" spans="1:15" x14ac:dyDescent="0.2">
      <c r="A1" t="s">
        <v>0</v>
      </c>
      <c r="B1" t="s">
        <v>389</v>
      </c>
      <c r="C1" t="s">
        <v>390</v>
      </c>
      <c r="D1" t="s">
        <v>391</v>
      </c>
      <c r="E1" t="s">
        <v>392</v>
      </c>
      <c r="F1" t="s">
        <v>393</v>
      </c>
      <c r="G1" t="s">
        <v>394</v>
      </c>
      <c r="H1" t="s">
        <v>395</v>
      </c>
      <c r="I1" t="s">
        <v>396</v>
      </c>
      <c r="J1" t="s">
        <v>397</v>
      </c>
      <c r="K1" t="s">
        <v>398</v>
      </c>
      <c r="L1" t="s">
        <v>399</v>
      </c>
      <c r="M1" t="s">
        <v>400</v>
      </c>
      <c r="N1" s="20" t="s">
        <v>401</v>
      </c>
      <c r="O1" t="s">
        <v>402</v>
      </c>
    </row>
    <row r="2" spans="1:15" x14ac:dyDescent="0.2">
      <c r="A2" t="s">
        <v>14</v>
      </c>
      <c r="B2" s="19">
        <v>6618</v>
      </c>
      <c r="C2" s="19">
        <v>2581</v>
      </c>
      <c r="D2" s="19">
        <v>8052</v>
      </c>
      <c r="E2" s="19">
        <v>2054</v>
      </c>
      <c r="F2" s="19">
        <v>5294</v>
      </c>
      <c r="G2" s="19">
        <v>801</v>
      </c>
      <c r="H2" s="19">
        <v>2882</v>
      </c>
      <c r="I2" s="19">
        <v>0</v>
      </c>
      <c r="J2" s="6">
        <f>B2+C2</f>
        <v>9199</v>
      </c>
      <c r="K2" s="6">
        <f>D2+E2+F2+G2</f>
        <v>16201</v>
      </c>
      <c r="L2" s="6">
        <f>H2+I2</f>
        <v>2882</v>
      </c>
      <c r="M2" s="6">
        <f>K2-L2</f>
        <v>13319</v>
      </c>
      <c r="N2" s="20">
        <f>M2/J2</f>
        <v>1.44787476899663</v>
      </c>
      <c r="O2" t="s">
        <v>403</v>
      </c>
    </row>
    <row r="3" spans="1:15" x14ac:dyDescent="0.2">
      <c r="A3" t="s">
        <v>17</v>
      </c>
      <c r="B3" s="19">
        <v>4301</v>
      </c>
      <c r="C3" s="19">
        <v>2288</v>
      </c>
      <c r="D3" s="19">
        <v>13145</v>
      </c>
      <c r="E3" s="19">
        <v>1407</v>
      </c>
      <c r="F3" s="19">
        <v>4946</v>
      </c>
      <c r="G3" s="19">
        <v>686</v>
      </c>
      <c r="H3" s="19">
        <v>2762</v>
      </c>
      <c r="I3" s="19">
        <v>2182</v>
      </c>
      <c r="J3" s="6">
        <f t="shared" ref="J3:J7" si="0">B3+C3</f>
        <v>6589</v>
      </c>
      <c r="K3" s="6">
        <f t="shared" ref="K3:K7" si="1">D3+E3+F3+G3</f>
        <v>20184</v>
      </c>
      <c r="L3" s="6">
        <f t="shared" ref="L3:L7" si="2">H3+I3</f>
        <v>4944</v>
      </c>
      <c r="M3" s="6">
        <f t="shared" ref="M3:M7" si="3">K3-L3</f>
        <v>15240</v>
      </c>
      <c r="N3" s="20">
        <f t="shared" ref="N3:N7" si="4">M3/J3</f>
        <v>2.3129458187888905</v>
      </c>
      <c r="O3" t="s">
        <v>403</v>
      </c>
    </row>
    <row r="4" spans="1:15" x14ac:dyDescent="0.2">
      <c r="A4" t="s">
        <v>6</v>
      </c>
      <c r="B4" s="19">
        <v>3065</v>
      </c>
      <c r="C4" s="19">
        <v>2600</v>
      </c>
      <c r="D4" s="19">
        <v>21454</v>
      </c>
      <c r="E4" s="19">
        <v>2749</v>
      </c>
      <c r="F4" s="19">
        <v>7421</v>
      </c>
      <c r="G4" s="19">
        <v>1708</v>
      </c>
      <c r="H4" s="19">
        <v>280</v>
      </c>
      <c r="I4" s="19">
        <v>3546</v>
      </c>
      <c r="J4" s="6">
        <f t="shared" si="0"/>
        <v>5665</v>
      </c>
      <c r="K4" s="6">
        <f t="shared" si="1"/>
        <v>33332</v>
      </c>
      <c r="L4" s="6">
        <f t="shared" si="2"/>
        <v>3826</v>
      </c>
      <c r="M4" s="6">
        <f t="shared" si="3"/>
        <v>29506</v>
      </c>
      <c r="N4" s="20">
        <f t="shared" si="4"/>
        <v>5.2084730803177406</v>
      </c>
      <c r="O4" t="s">
        <v>404</v>
      </c>
    </row>
    <row r="5" spans="1:15" x14ac:dyDescent="0.2">
      <c r="A5" t="s">
        <v>16</v>
      </c>
      <c r="B5" s="19">
        <v>2957</v>
      </c>
      <c r="C5" s="19">
        <v>1219</v>
      </c>
      <c r="D5" s="19">
        <v>1846</v>
      </c>
      <c r="E5" s="19">
        <v>819</v>
      </c>
      <c r="F5" s="19">
        <v>978</v>
      </c>
      <c r="G5" s="19">
        <v>353</v>
      </c>
      <c r="H5" s="19">
        <v>2548</v>
      </c>
      <c r="I5" s="19">
        <v>1524</v>
      </c>
      <c r="J5" s="6">
        <f t="shared" si="0"/>
        <v>4176</v>
      </c>
      <c r="K5" s="6">
        <f t="shared" si="1"/>
        <v>3996</v>
      </c>
      <c r="L5" s="6">
        <f t="shared" si="2"/>
        <v>4072</v>
      </c>
      <c r="M5" s="6">
        <f t="shared" si="3"/>
        <v>-76</v>
      </c>
      <c r="N5" s="20">
        <f t="shared" si="4"/>
        <v>-1.8199233716475097E-2</v>
      </c>
      <c r="O5" t="s">
        <v>404</v>
      </c>
    </row>
    <row r="6" spans="1:15" x14ac:dyDescent="0.2">
      <c r="A6" t="s">
        <v>13</v>
      </c>
      <c r="B6" s="19">
        <v>1063</v>
      </c>
      <c r="C6" s="19">
        <v>423</v>
      </c>
      <c r="D6" s="19">
        <v>1264</v>
      </c>
      <c r="E6" s="19">
        <v>235</v>
      </c>
      <c r="F6" s="19">
        <v>1439</v>
      </c>
      <c r="G6" s="19">
        <v>269</v>
      </c>
      <c r="H6" s="19">
        <v>221</v>
      </c>
      <c r="I6" s="19">
        <v>1300</v>
      </c>
      <c r="J6" s="6">
        <f t="shared" si="0"/>
        <v>1486</v>
      </c>
      <c r="K6" s="6">
        <f t="shared" si="1"/>
        <v>3207</v>
      </c>
      <c r="L6" s="6">
        <f t="shared" si="2"/>
        <v>1521</v>
      </c>
      <c r="M6" s="6">
        <f t="shared" si="3"/>
        <v>1686</v>
      </c>
      <c r="N6" s="20">
        <f t="shared" si="4"/>
        <v>1.1345895020188426</v>
      </c>
      <c r="O6" t="s">
        <v>403</v>
      </c>
    </row>
    <row r="7" spans="1:15" x14ac:dyDescent="0.2">
      <c r="A7" t="s">
        <v>15</v>
      </c>
      <c r="B7" s="19">
        <v>800</v>
      </c>
      <c r="C7" s="19">
        <v>525</v>
      </c>
      <c r="D7" s="19">
        <v>1990</v>
      </c>
      <c r="E7" s="19">
        <v>344</v>
      </c>
      <c r="F7" s="19">
        <v>690</v>
      </c>
      <c r="G7" s="19">
        <v>128</v>
      </c>
      <c r="H7" s="19">
        <v>959</v>
      </c>
      <c r="I7" s="19">
        <v>369</v>
      </c>
      <c r="J7" s="6">
        <f t="shared" si="0"/>
        <v>1325</v>
      </c>
      <c r="K7" s="6">
        <f t="shared" si="1"/>
        <v>3152</v>
      </c>
      <c r="L7" s="6">
        <f t="shared" si="2"/>
        <v>1328</v>
      </c>
      <c r="M7" s="6">
        <f t="shared" si="3"/>
        <v>1824</v>
      </c>
      <c r="N7" s="20">
        <f t="shared" si="4"/>
        <v>1.3766037735849057</v>
      </c>
      <c r="O7" t="s">
        <v>404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11266-D2BD-8048-9F43-4F9FDA12FE1A}">
  <dimension ref="A1:H330"/>
  <sheetViews>
    <sheetView workbookViewId="0">
      <selection activeCell="J28" sqref="J28"/>
    </sheetView>
  </sheetViews>
  <sheetFormatPr baseColWidth="10" defaultRowHeight="16" x14ac:dyDescent="0.2"/>
  <cols>
    <col min="3" max="3" width="12.5" customWidth="1"/>
    <col min="5" max="5" width="12.5" customWidth="1"/>
    <col min="6" max="6" width="11.33203125" customWidth="1"/>
    <col min="7" max="7" width="14" customWidth="1"/>
    <col min="8" max="8" width="18.1640625" customWidth="1"/>
  </cols>
  <sheetData>
    <row r="1" spans="1:8" x14ac:dyDescent="0.2">
      <c r="A1" s="2" t="s">
        <v>21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22</v>
      </c>
      <c r="G1" s="2" t="s">
        <v>23</v>
      </c>
      <c r="H1" s="2" t="s">
        <v>24</v>
      </c>
    </row>
    <row r="2" spans="1:8" x14ac:dyDescent="0.2">
      <c r="A2" t="s">
        <v>25</v>
      </c>
      <c r="B2" t="s">
        <v>6</v>
      </c>
      <c r="C2">
        <v>2015</v>
      </c>
      <c r="D2" t="s">
        <v>7</v>
      </c>
      <c r="E2" s="1">
        <v>42094</v>
      </c>
      <c r="F2">
        <v>48.17</v>
      </c>
      <c r="G2">
        <v>61</v>
      </c>
      <c r="H2" t="b">
        <v>1</v>
      </c>
    </row>
    <row r="3" spans="1:8" x14ac:dyDescent="0.2">
      <c r="A3" t="s">
        <v>26</v>
      </c>
      <c r="B3" t="s">
        <v>6</v>
      </c>
      <c r="C3">
        <v>2015</v>
      </c>
      <c r="D3" t="s">
        <v>9</v>
      </c>
      <c r="E3" s="1">
        <v>42185</v>
      </c>
      <c r="F3">
        <v>43.35</v>
      </c>
      <c r="G3">
        <v>63</v>
      </c>
      <c r="H3" t="b">
        <v>1</v>
      </c>
    </row>
    <row r="4" spans="1:8" x14ac:dyDescent="0.2">
      <c r="A4" t="s">
        <v>27</v>
      </c>
      <c r="B4" t="s">
        <v>6</v>
      </c>
      <c r="C4">
        <v>2015</v>
      </c>
      <c r="D4" t="s">
        <v>10</v>
      </c>
      <c r="E4" s="1">
        <v>42277</v>
      </c>
      <c r="F4">
        <v>39.119999999999997</v>
      </c>
      <c r="G4">
        <v>64</v>
      </c>
      <c r="H4" t="b">
        <v>1</v>
      </c>
    </row>
    <row r="5" spans="1:8" x14ac:dyDescent="0.2">
      <c r="A5" t="s">
        <v>28</v>
      </c>
      <c r="B5" t="s">
        <v>6</v>
      </c>
      <c r="C5">
        <v>2015</v>
      </c>
      <c r="D5" t="s">
        <v>11</v>
      </c>
      <c r="E5" s="1">
        <v>42369</v>
      </c>
      <c r="F5">
        <v>41.38</v>
      </c>
      <c r="G5">
        <v>64</v>
      </c>
      <c r="H5" t="b">
        <v>1</v>
      </c>
    </row>
    <row r="6" spans="1:8" x14ac:dyDescent="0.2">
      <c r="A6" t="s">
        <v>29</v>
      </c>
      <c r="B6" t="s">
        <v>6</v>
      </c>
      <c r="C6">
        <v>2016</v>
      </c>
      <c r="D6" t="s">
        <v>7</v>
      </c>
      <c r="E6" s="1">
        <v>42460</v>
      </c>
      <c r="F6">
        <v>38.53</v>
      </c>
      <c r="G6">
        <v>61</v>
      </c>
      <c r="H6" t="b">
        <v>1</v>
      </c>
    </row>
    <row r="7" spans="1:8" x14ac:dyDescent="0.2">
      <c r="A7" t="s">
        <v>30</v>
      </c>
      <c r="B7" t="s">
        <v>6</v>
      </c>
      <c r="C7">
        <v>2016</v>
      </c>
      <c r="D7" t="s">
        <v>9</v>
      </c>
      <c r="E7" s="1">
        <v>42551</v>
      </c>
      <c r="F7">
        <v>32.44</v>
      </c>
      <c r="G7">
        <v>64</v>
      </c>
      <c r="H7" t="b">
        <v>1</v>
      </c>
    </row>
    <row r="8" spans="1:8" x14ac:dyDescent="0.2">
      <c r="A8" t="s">
        <v>31</v>
      </c>
      <c r="B8" t="s">
        <v>6</v>
      </c>
      <c r="C8">
        <v>2016</v>
      </c>
      <c r="D8" t="s">
        <v>10</v>
      </c>
      <c r="E8" s="1">
        <v>42643</v>
      </c>
      <c r="F8">
        <v>34.020000000000003</v>
      </c>
      <c r="G8">
        <v>64</v>
      </c>
      <c r="H8" t="b">
        <v>1</v>
      </c>
    </row>
    <row r="9" spans="1:8" x14ac:dyDescent="0.2">
      <c r="A9" t="s">
        <v>32</v>
      </c>
      <c r="B9" t="s">
        <v>6</v>
      </c>
      <c r="C9">
        <v>2016</v>
      </c>
      <c r="D9" t="s">
        <v>11</v>
      </c>
      <c r="E9" s="1">
        <v>42735</v>
      </c>
      <c r="F9">
        <v>42.05</v>
      </c>
      <c r="G9">
        <v>63</v>
      </c>
      <c r="H9" t="b">
        <v>1</v>
      </c>
    </row>
    <row r="10" spans="1:8" x14ac:dyDescent="0.2">
      <c r="A10" t="s">
        <v>33</v>
      </c>
      <c r="B10" t="s">
        <v>6</v>
      </c>
      <c r="C10">
        <v>2017</v>
      </c>
      <c r="D10" t="s">
        <v>7</v>
      </c>
      <c r="E10" s="1">
        <v>42825</v>
      </c>
      <c r="F10">
        <v>43.78</v>
      </c>
      <c r="G10">
        <v>62</v>
      </c>
      <c r="H10" t="b">
        <v>1</v>
      </c>
    </row>
    <row r="11" spans="1:8" x14ac:dyDescent="0.2">
      <c r="A11" t="s">
        <v>34</v>
      </c>
      <c r="B11" t="s">
        <v>6</v>
      </c>
      <c r="C11">
        <v>2017</v>
      </c>
      <c r="D11" t="s">
        <v>9</v>
      </c>
      <c r="E11" s="1">
        <v>42916</v>
      </c>
      <c r="F11">
        <v>45.08</v>
      </c>
      <c r="G11">
        <v>63</v>
      </c>
      <c r="H11" t="b">
        <v>1</v>
      </c>
    </row>
    <row r="12" spans="1:8" x14ac:dyDescent="0.2">
      <c r="A12" t="s">
        <v>35</v>
      </c>
      <c r="B12" t="s">
        <v>6</v>
      </c>
      <c r="C12">
        <v>2017</v>
      </c>
      <c r="D12" t="s">
        <v>10</v>
      </c>
      <c r="E12" s="1">
        <v>43008</v>
      </c>
      <c r="F12">
        <v>47</v>
      </c>
      <c r="G12">
        <v>63</v>
      </c>
      <c r="H12" t="b">
        <v>1</v>
      </c>
    </row>
    <row r="13" spans="1:8" x14ac:dyDescent="0.2">
      <c r="A13" t="s">
        <v>36</v>
      </c>
      <c r="B13" t="s">
        <v>6</v>
      </c>
      <c r="C13">
        <v>2017</v>
      </c>
      <c r="D13" t="s">
        <v>11</v>
      </c>
      <c r="E13" s="1">
        <v>43100</v>
      </c>
      <c r="F13">
        <v>48.51</v>
      </c>
      <c r="G13">
        <v>63</v>
      </c>
      <c r="H13" t="b">
        <v>1</v>
      </c>
    </row>
    <row r="14" spans="1:8" x14ac:dyDescent="0.2">
      <c r="A14" t="s">
        <v>37</v>
      </c>
      <c r="B14" t="s">
        <v>6</v>
      </c>
      <c r="C14">
        <v>2018</v>
      </c>
      <c r="D14" t="s">
        <v>7</v>
      </c>
      <c r="E14" s="1">
        <v>43190</v>
      </c>
      <c r="F14">
        <v>52.27</v>
      </c>
      <c r="G14">
        <v>61</v>
      </c>
      <c r="H14" t="b">
        <v>1</v>
      </c>
    </row>
    <row r="15" spans="1:8" x14ac:dyDescent="0.2">
      <c r="A15" t="s">
        <v>38</v>
      </c>
      <c r="B15" t="s">
        <v>6</v>
      </c>
      <c r="C15">
        <v>2018</v>
      </c>
      <c r="D15" t="s">
        <v>9</v>
      </c>
      <c r="E15" s="1">
        <v>43281</v>
      </c>
      <c r="F15">
        <v>43.1</v>
      </c>
      <c r="G15">
        <v>64</v>
      </c>
      <c r="H15" t="b">
        <v>1</v>
      </c>
    </row>
    <row r="16" spans="1:8" x14ac:dyDescent="0.2">
      <c r="A16" t="s">
        <v>39</v>
      </c>
      <c r="B16" t="s">
        <v>6</v>
      </c>
      <c r="C16">
        <v>2018</v>
      </c>
      <c r="D16" t="s">
        <v>10</v>
      </c>
      <c r="E16" s="1">
        <v>43373</v>
      </c>
      <c r="F16">
        <v>38.31</v>
      </c>
      <c r="G16">
        <v>63</v>
      </c>
      <c r="H16" t="b">
        <v>1</v>
      </c>
    </row>
    <row r="17" spans="1:8" x14ac:dyDescent="0.2">
      <c r="A17" t="s">
        <v>40</v>
      </c>
      <c r="B17" t="s">
        <v>6</v>
      </c>
      <c r="C17">
        <v>2018</v>
      </c>
      <c r="D17" t="s">
        <v>11</v>
      </c>
      <c r="E17" s="1">
        <v>43465</v>
      </c>
      <c r="F17">
        <v>34.21</v>
      </c>
      <c r="G17">
        <v>63</v>
      </c>
      <c r="H17" t="b">
        <v>1</v>
      </c>
    </row>
    <row r="18" spans="1:8" x14ac:dyDescent="0.2">
      <c r="A18" t="s">
        <v>41</v>
      </c>
      <c r="B18" t="s">
        <v>6</v>
      </c>
      <c r="C18">
        <v>2019</v>
      </c>
      <c r="D18" t="s">
        <v>7</v>
      </c>
      <c r="E18" s="1">
        <v>43555</v>
      </c>
      <c r="F18">
        <v>33.11</v>
      </c>
      <c r="G18">
        <v>61</v>
      </c>
      <c r="H18" t="b">
        <v>1</v>
      </c>
    </row>
    <row r="19" spans="1:8" x14ac:dyDescent="0.2">
      <c r="A19" t="s">
        <v>42</v>
      </c>
      <c r="B19" t="s">
        <v>6</v>
      </c>
      <c r="C19">
        <v>2019</v>
      </c>
      <c r="D19" t="s">
        <v>9</v>
      </c>
      <c r="E19" s="1">
        <v>43646</v>
      </c>
      <c r="F19">
        <v>31.92</v>
      </c>
      <c r="G19">
        <v>63</v>
      </c>
      <c r="H19" t="b">
        <v>1</v>
      </c>
    </row>
    <row r="20" spans="1:8" x14ac:dyDescent="0.2">
      <c r="A20" t="s">
        <v>43</v>
      </c>
      <c r="B20" t="s">
        <v>6</v>
      </c>
      <c r="C20">
        <v>2019</v>
      </c>
      <c r="D20" t="s">
        <v>10</v>
      </c>
      <c r="E20" s="1">
        <v>43738</v>
      </c>
      <c r="F20">
        <v>29.02</v>
      </c>
      <c r="G20">
        <v>64</v>
      </c>
      <c r="H20" t="b">
        <v>1</v>
      </c>
    </row>
    <row r="21" spans="1:8" x14ac:dyDescent="0.2">
      <c r="A21" t="s">
        <v>44</v>
      </c>
      <c r="B21" t="s">
        <v>6</v>
      </c>
      <c r="C21">
        <v>2019</v>
      </c>
      <c r="D21" t="s">
        <v>11</v>
      </c>
      <c r="E21" s="1">
        <v>43830</v>
      </c>
      <c r="F21">
        <v>28.37</v>
      </c>
      <c r="G21">
        <v>64</v>
      </c>
      <c r="H21" t="b">
        <v>1</v>
      </c>
    </row>
    <row r="22" spans="1:8" x14ac:dyDescent="0.2">
      <c r="A22" t="s">
        <v>45</v>
      </c>
      <c r="B22" t="s">
        <v>6</v>
      </c>
      <c r="C22">
        <v>2020</v>
      </c>
      <c r="D22" t="s">
        <v>7</v>
      </c>
      <c r="E22" s="1">
        <v>43921</v>
      </c>
      <c r="F22">
        <v>22.75</v>
      </c>
      <c r="G22">
        <v>62</v>
      </c>
      <c r="H22" t="b">
        <v>1</v>
      </c>
    </row>
    <row r="23" spans="1:8" x14ac:dyDescent="0.2">
      <c r="A23" t="s">
        <v>46</v>
      </c>
      <c r="B23" t="s">
        <v>6</v>
      </c>
      <c r="C23">
        <v>2020</v>
      </c>
      <c r="D23" t="s">
        <v>9</v>
      </c>
      <c r="E23" s="1">
        <v>44012</v>
      </c>
      <c r="F23">
        <v>12.13</v>
      </c>
      <c r="G23">
        <v>63</v>
      </c>
      <c r="H23" t="b">
        <v>1</v>
      </c>
    </row>
    <row r="24" spans="1:8" x14ac:dyDescent="0.2">
      <c r="A24" t="s">
        <v>47</v>
      </c>
      <c r="B24" t="s">
        <v>6</v>
      </c>
      <c r="C24">
        <v>2020</v>
      </c>
      <c r="D24" t="s">
        <v>10</v>
      </c>
      <c r="E24" s="1">
        <v>44104</v>
      </c>
      <c r="F24">
        <v>12.53</v>
      </c>
      <c r="G24">
        <v>64</v>
      </c>
      <c r="H24" t="b">
        <v>1</v>
      </c>
    </row>
    <row r="25" spans="1:8" x14ac:dyDescent="0.2">
      <c r="A25" t="s">
        <v>48</v>
      </c>
      <c r="B25" t="s">
        <v>6</v>
      </c>
      <c r="C25">
        <v>2020</v>
      </c>
      <c r="D25" t="s">
        <v>11</v>
      </c>
      <c r="E25" s="1">
        <v>44196</v>
      </c>
      <c r="F25">
        <v>13.86</v>
      </c>
      <c r="G25">
        <v>64</v>
      </c>
      <c r="H25" t="b">
        <v>1</v>
      </c>
    </row>
    <row r="26" spans="1:8" x14ac:dyDescent="0.2">
      <c r="A26" t="s">
        <v>49</v>
      </c>
      <c r="B26" t="s">
        <v>6</v>
      </c>
      <c r="C26">
        <v>2021</v>
      </c>
      <c r="D26" t="s">
        <v>7</v>
      </c>
      <c r="E26" s="1">
        <v>44286</v>
      </c>
      <c r="F26">
        <v>19.29</v>
      </c>
      <c r="G26">
        <v>61</v>
      </c>
      <c r="H26" t="b">
        <v>1</v>
      </c>
    </row>
    <row r="27" spans="1:8" x14ac:dyDescent="0.2">
      <c r="A27" t="s">
        <v>50</v>
      </c>
      <c r="B27" t="s">
        <v>6</v>
      </c>
      <c r="C27">
        <v>2021</v>
      </c>
      <c r="D27" t="s">
        <v>9</v>
      </c>
      <c r="E27" s="1">
        <v>44377</v>
      </c>
      <c r="F27">
        <v>22.62</v>
      </c>
      <c r="G27">
        <v>63</v>
      </c>
      <c r="H27" t="b">
        <v>1</v>
      </c>
    </row>
    <row r="28" spans="1:8" x14ac:dyDescent="0.2">
      <c r="A28" t="s">
        <v>51</v>
      </c>
      <c r="B28" t="s">
        <v>6</v>
      </c>
      <c r="C28">
        <v>2021</v>
      </c>
      <c r="D28" t="s">
        <v>10</v>
      </c>
      <c r="E28" s="1">
        <v>44469</v>
      </c>
      <c r="F28">
        <v>20.27</v>
      </c>
      <c r="G28">
        <v>64</v>
      </c>
      <c r="H28" t="b">
        <v>1</v>
      </c>
    </row>
    <row r="29" spans="1:8" x14ac:dyDescent="0.2">
      <c r="A29" t="s">
        <v>52</v>
      </c>
      <c r="B29" t="s">
        <v>6</v>
      </c>
      <c r="C29">
        <v>2021</v>
      </c>
      <c r="D29" t="s">
        <v>11</v>
      </c>
      <c r="E29" s="1">
        <v>44561</v>
      </c>
      <c r="F29">
        <v>19.18</v>
      </c>
      <c r="G29">
        <v>64</v>
      </c>
      <c r="H29" t="b">
        <v>1</v>
      </c>
    </row>
    <row r="30" spans="1:8" x14ac:dyDescent="0.2">
      <c r="A30" t="s">
        <v>53</v>
      </c>
      <c r="B30" t="s">
        <v>6</v>
      </c>
      <c r="C30">
        <v>2022</v>
      </c>
      <c r="D30" t="s">
        <v>7</v>
      </c>
      <c r="E30" s="1">
        <v>44651</v>
      </c>
      <c r="F30">
        <v>17</v>
      </c>
      <c r="G30">
        <v>62</v>
      </c>
      <c r="H30" t="b">
        <v>1</v>
      </c>
    </row>
    <row r="31" spans="1:8" x14ac:dyDescent="0.2">
      <c r="A31" t="s">
        <v>54</v>
      </c>
      <c r="B31" t="s">
        <v>6</v>
      </c>
      <c r="C31">
        <v>2022</v>
      </c>
      <c r="D31" t="s">
        <v>9</v>
      </c>
      <c r="E31" s="1">
        <v>44742</v>
      </c>
      <c r="F31">
        <v>16.649999999999999</v>
      </c>
      <c r="G31">
        <v>62</v>
      </c>
      <c r="H31" t="b">
        <v>1</v>
      </c>
    </row>
    <row r="32" spans="1:8" x14ac:dyDescent="0.2">
      <c r="A32" t="s">
        <v>55</v>
      </c>
      <c r="B32" t="s">
        <v>6</v>
      </c>
      <c r="C32">
        <v>2022</v>
      </c>
      <c r="D32" t="s">
        <v>10</v>
      </c>
      <c r="E32" s="1">
        <v>44834</v>
      </c>
      <c r="F32">
        <v>13.94</v>
      </c>
      <c r="G32">
        <v>64</v>
      </c>
      <c r="H32" t="b">
        <v>1</v>
      </c>
    </row>
    <row r="33" spans="1:8" x14ac:dyDescent="0.2">
      <c r="A33" t="s">
        <v>56</v>
      </c>
      <c r="B33" t="s">
        <v>6</v>
      </c>
      <c r="C33">
        <v>2022</v>
      </c>
      <c r="D33" t="s">
        <v>11</v>
      </c>
      <c r="E33" s="1">
        <v>44926</v>
      </c>
      <c r="F33">
        <v>13.56</v>
      </c>
      <c r="G33">
        <v>63</v>
      </c>
      <c r="H33" t="b">
        <v>1</v>
      </c>
    </row>
    <row r="34" spans="1:8" x14ac:dyDescent="0.2">
      <c r="A34" t="s">
        <v>57</v>
      </c>
      <c r="B34" t="s">
        <v>6</v>
      </c>
      <c r="C34">
        <v>2023</v>
      </c>
      <c r="D34" t="s">
        <v>7</v>
      </c>
      <c r="E34" s="1">
        <v>45016</v>
      </c>
      <c r="F34">
        <v>15.59</v>
      </c>
      <c r="G34">
        <v>62</v>
      </c>
      <c r="H34" t="b">
        <v>1</v>
      </c>
    </row>
    <row r="35" spans="1:8" x14ac:dyDescent="0.2">
      <c r="A35" t="s">
        <v>58</v>
      </c>
      <c r="B35" t="s">
        <v>6</v>
      </c>
      <c r="C35">
        <v>2023</v>
      </c>
      <c r="D35" t="s">
        <v>9</v>
      </c>
      <c r="E35" s="1">
        <v>45107</v>
      </c>
      <c r="F35">
        <v>14.66</v>
      </c>
      <c r="G35">
        <v>62</v>
      </c>
      <c r="H35" t="b">
        <v>1</v>
      </c>
    </row>
    <row r="36" spans="1:8" x14ac:dyDescent="0.2">
      <c r="A36" t="s">
        <v>59</v>
      </c>
      <c r="B36" t="s">
        <v>6</v>
      </c>
      <c r="C36">
        <v>2023</v>
      </c>
      <c r="D36" t="s">
        <v>10</v>
      </c>
      <c r="E36" s="1">
        <v>45199</v>
      </c>
      <c r="F36">
        <v>15.52</v>
      </c>
      <c r="G36">
        <v>63</v>
      </c>
      <c r="H36" t="b">
        <v>1</v>
      </c>
    </row>
    <row r="37" spans="1:8" x14ac:dyDescent="0.2">
      <c r="A37" t="s">
        <v>60</v>
      </c>
      <c r="B37" t="s">
        <v>6</v>
      </c>
      <c r="C37">
        <v>2023</v>
      </c>
      <c r="D37" t="s">
        <v>11</v>
      </c>
      <c r="E37" s="1">
        <v>45291</v>
      </c>
      <c r="F37">
        <v>12.56</v>
      </c>
      <c r="G37">
        <v>63</v>
      </c>
      <c r="H37" t="b">
        <v>1</v>
      </c>
    </row>
    <row r="38" spans="1:8" x14ac:dyDescent="0.2">
      <c r="A38" t="s">
        <v>61</v>
      </c>
      <c r="B38" t="s">
        <v>6</v>
      </c>
      <c r="C38">
        <v>2024</v>
      </c>
      <c r="D38" t="s">
        <v>7</v>
      </c>
      <c r="E38" s="1">
        <v>45382</v>
      </c>
      <c r="F38">
        <v>14.51</v>
      </c>
      <c r="G38">
        <v>61</v>
      </c>
      <c r="H38" t="b">
        <v>1</v>
      </c>
    </row>
    <row r="39" spans="1:8" x14ac:dyDescent="0.2">
      <c r="A39" t="s">
        <v>62</v>
      </c>
      <c r="B39" t="s">
        <v>6</v>
      </c>
      <c r="C39">
        <v>2024</v>
      </c>
      <c r="D39" t="s">
        <v>9</v>
      </c>
      <c r="E39" s="1">
        <v>45473</v>
      </c>
      <c r="F39">
        <v>13.14</v>
      </c>
      <c r="G39">
        <v>63</v>
      </c>
      <c r="H39" t="b">
        <v>1</v>
      </c>
    </row>
    <row r="40" spans="1:8" x14ac:dyDescent="0.2">
      <c r="A40" t="s">
        <v>63</v>
      </c>
      <c r="B40" t="s">
        <v>6</v>
      </c>
      <c r="C40">
        <v>2024</v>
      </c>
      <c r="D40" t="s">
        <v>10</v>
      </c>
      <c r="E40" s="1">
        <v>45565</v>
      </c>
      <c r="F40">
        <v>10.58</v>
      </c>
      <c r="G40">
        <v>64</v>
      </c>
      <c r="H40" t="b">
        <v>1</v>
      </c>
    </row>
    <row r="41" spans="1:8" x14ac:dyDescent="0.2">
      <c r="A41" t="s">
        <v>64</v>
      </c>
      <c r="B41" t="s">
        <v>6</v>
      </c>
      <c r="C41">
        <v>2024</v>
      </c>
      <c r="D41" t="s">
        <v>11</v>
      </c>
      <c r="E41" s="1">
        <v>45657</v>
      </c>
      <c r="F41">
        <v>14.38</v>
      </c>
      <c r="G41">
        <v>64</v>
      </c>
      <c r="H41" t="b">
        <v>1</v>
      </c>
    </row>
    <row r="42" spans="1:8" x14ac:dyDescent="0.2">
      <c r="A42" t="s">
        <v>65</v>
      </c>
      <c r="B42" t="s">
        <v>6</v>
      </c>
      <c r="C42">
        <v>2025</v>
      </c>
      <c r="D42" t="s">
        <v>7</v>
      </c>
      <c r="E42" s="1">
        <v>45747</v>
      </c>
      <c r="F42">
        <v>15.06</v>
      </c>
      <c r="G42">
        <v>60</v>
      </c>
      <c r="H42" t="b">
        <v>1</v>
      </c>
    </row>
    <row r="43" spans="1:8" x14ac:dyDescent="0.2">
      <c r="A43" t="s">
        <v>66</v>
      </c>
      <c r="B43" t="s">
        <v>6</v>
      </c>
      <c r="C43">
        <v>2025</v>
      </c>
      <c r="D43" t="s">
        <v>9</v>
      </c>
      <c r="E43" s="1">
        <v>45838</v>
      </c>
      <c r="F43">
        <v>10.71</v>
      </c>
      <c r="G43">
        <v>62</v>
      </c>
      <c r="H43" t="b">
        <v>1</v>
      </c>
    </row>
    <row r="44" spans="1:8" x14ac:dyDescent="0.2">
      <c r="A44" t="s">
        <v>67</v>
      </c>
      <c r="B44" t="s">
        <v>6</v>
      </c>
      <c r="C44">
        <v>2025</v>
      </c>
      <c r="D44" t="s">
        <v>10</v>
      </c>
      <c r="E44" s="1">
        <v>45930</v>
      </c>
      <c r="F44">
        <v>12.32</v>
      </c>
      <c r="G44">
        <v>64</v>
      </c>
      <c r="H44" t="b">
        <v>1</v>
      </c>
    </row>
    <row r="45" spans="1:8" x14ac:dyDescent="0.2">
      <c r="A45" t="s">
        <v>68</v>
      </c>
      <c r="B45" t="s">
        <v>6</v>
      </c>
      <c r="C45">
        <v>2025</v>
      </c>
      <c r="D45" t="s">
        <v>11</v>
      </c>
      <c r="E45" s="1">
        <v>46022</v>
      </c>
      <c r="F45">
        <v>13.49</v>
      </c>
      <c r="G45">
        <v>64</v>
      </c>
      <c r="H45" t="b">
        <v>1</v>
      </c>
    </row>
    <row r="46" spans="1:8" x14ac:dyDescent="0.2">
      <c r="A46" t="s">
        <v>69</v>
      </c>
      <c r="B46" t="s">
        <v>6</v>
      </c>
      <c r="C46">
        <v>2026</v>
      </c>
      <c r="D46" t="s">
        <v>7</v>
      </c>
      <c r="E46" s="1">
        <v>46112</v>
      </c>
      <c r="F46">
        <v>13.25</v>
      </c>
      <c r="G46">
        <v>61</v>
      </c>
      <c r="H46" t="b">
        <v>1</v>
      </c>
    </row>
    <row r="47" spans="1:8" x14ac:dyDescent="0.2">
      <c r="A47" t="s">
        <v>70</v>
      </c>
      <c r="B47" t="s">
        <v>6</v>
      </c>
      <c r="C47">
        <v>2026</v>
      </c>
      <c r="D47" t="s">
        <v>9</v>
      </c>
      <c r="E47" s="1">
        <v>46203</v>
      </c>
      <c r="F47">
        <v>13.38</v>
      </c>
      <c r="G47">
        <v>62</v>
      </c>
      <c r="H47" t="b">
        <v>1</v>
      </c>
    </row>
    <row r="48" spans="1:8" x14ac:dyDescent="0.2">
      <c r="A48" t="s">
        <v>71</v>
      </c>
      <c r="B48" t="s">
        <v>6</v>
      </c>
      <c r="C48">
        <v>2026</v>
      </c>
      <c r="D48" t="s">
        <v>10</v>
      </c>
      <c r="E48" s="1">
        <v>46295</v>
      </c>
      <c r="F48">
        <v>15.09</v>
      </c>
      <c r="G48">
        <v>47</v>
      </c>
      <c r="H48" t="b">
        <v>0</v>
      </c>
    </row>
    <row r="49" spans="1:8" x14ac:dyDescent="0.2">
      <c r="A49" t="s">
        <v>72</v>
      </c>
      <c r="B49" t="s">
        <v>13</v>
      </c>
      <c r="C49">
        <v>2015</v>
      </c>
      <c r="D49" t="s">
        <v>7</v>
      </c>
      <c r="E49" s="1">
        <v>42094</v>
      </c>
      <c r="F49">
        <v>59.43</v>
      </c>
      <c r="G49">
        <v>61</v>
      </c>
      <c r="H49" t="b">
        <v>1</v>
      </c>
    </row>
    <row r="50" spans="1:8" x14ac:dyDescent="0.2">
      <c r="A50" t="s">
        <v>73</v>
      </c>
      <c r="B50" t="s">
        <v>13</v>
      </c>
      <c r="C50">
        <v>2015</v>
      </c>
      <c r="D50" t="s">
        <v>9</v>
      </c>
      <c r="E50" s="1">
        <v>42185</v>
      </c>
      <c r="F50">
        <v>59.18</v>
      </c>
      <c r="G50">
        <v>63</v>
      </c>
      <c r="H50" t="b">
        <v>1</v>
      </c>
    </row>
    <row r="51" spans="1:8" x14ac:dyDescent="0.2">
      <c r="A51" t="s">
        <v>74</v>
      </c>
      <c r="B51" t="s">
        <v>13</v>
      </c>
      <c r="C51">
        <v>2015</v>
      </c>
      <c r="D51" t="s">
        <v>10</v>
      </c>
      <c r="E51" s="1">
        <v>42277</v>
      </c>
      <c r="F51">
        <v>70.36</v>
      </c>
      <c r="G51">
        <v>64</v>
      </c>
      <c r="H51" t="b">
        <v>1</v>
      </c>
    </row>
    <row r="52" spans="1:8" x14ac:dyDescent="0.2">
      <c r="A52" t="s">
        <v>75</v>
      </c>
      <c r="B52" t="s">
        <v>13</v>
      </c>
      <c r="C52">
        <v>2015</v>
      </c>
      <c r="D52" t="s">
        <v>11</v>
      </c>
      <c r="E52" s="1">
        <v>42369</v>
      </c>
      <c r="F52">
        <v>73.150000000000006</v>
      </c>
      <c r="G52">
        <v>64</v>
      </c>
      <c r="H52" t="b">
        <v>1</v>
      </c>
    </row>
    <row r="53" spans="1:8" x14ac:dyDescent="0.2">
      <c r="A53" t="s">
        <v>76</v>
      </c>
      <c r="B53" t="s">
        <v>13</v>
      </c>
      <c r="C53">
        <v>2016</v>
      </c>
      <c r="D53" t="s">
        <v>7</v>
      </c>
      <c r="E53" s="1">
        <v>42460</v>
      </c>
      <c r="F53">
        <v>68.47</v>
      </c>
      <c r="G53">
        <v>61</v>
      </c>
      <c r="H53" t="b">
        <v>1</v>
      </c>
    </row>
    <row r="54" spans="1:8" x14ac:dyDescent="0.2">
      <c r="A54" t="s">
        <v>77</v>
      </c>
      <c r="B54" t="s">
        <v>13</v>
      </c>
      <c r="C54">
        <v>2016</v>
      </c>
      <c r="D54" t="s">
        <v>9</v>
      </c>
      <c r="E54" s="1">
        <v>42551</v>
      </c>
      <c r="F54">
        <v>64.23</v>
      </c>
      <c r="G54">
        <v>64</v>
      </c>
      <c r="H54" t="b">
        <v>1</v>
      </c>
    </row>
    <row r="55" spans="1:8" x14ac:dyDescent="0.2">
      <c r="A55" t="s">
        <v>78</v>
      </c>
      <c r="B55" t="s">
        <v>13</v>
      </c>
      <c r="C55">
        <v>2016</v>
      </c>
      <c r="D55" t="s">
        <v>10</v>
      </c>
      <c r="E55" s="1">
        <v>42643</v>
      </c>
      <c r="F55">
        <v>61.44</v>
      </c>
      <c r="G55">
        <v>64</v>
      </c>
      <c r="H55" t="b">
        <v>1</v>
      </c>
    </row>
    <row r="56" spans="1:8" x14ac:dyDescent="0.2">
      <c r="A56" t="s">
        <v>79</v>
      </c>
      <c r="B56" t="s">
        <v>13</v>
      </c>
      <c r="C56">
        <v>2016</v>
      </c>
      <c r="D56" t="s">
        <v>11</v>
      </c>
      <c r="E56" s="1">
        <v>42735</v>
      </c>
      <c r="F56">
        <v>73.89</v>
      </c>
      <c r="G56">
        <v>63</v>
      </c>
      <c r="H56" t="b">
        <v>1</v>
      </c>
    </row>
    <row r="57" spans="1:8" x14ac:dyDescent="0.2">
      <c r="A57" t="s">
        <v>80</v>
      </c>
      <c r="B57" t="s">
        <v>13</v>
      </c>
      <c r="C57">
        <v>2017</v>
      </c>
      <c r="D57" t="s">
        <v>7</v>
      </c>
      <c r="E57" s="1">
        <v>42825</v>
      </c>
      <c r="F57">
        <v>89.03</v>
      </c>
      <c r="G57">
        <v>62</v>
      </c>
      <c r="H57" t="b">
        <v>1</v>
      </c>
    </row>
    <row r="58" spans="1:8" x14ac:dyDescent="0.2">
      <c r="A58" t="s">
        <v>81</v>
      </c>
      <c r="B58" t="s">
        <v>13</v>
      </c>
      <c r="C58">
        <v>2017</v>
      </c>
      <c r="D58" t="s">
        <v>9</v>
      </c>
      <c r="E58" s="1">
        <v>42916</v>
      </c>
      <c r="F58">
        <v>82.77</v>
      </c>
      <c r="G58">
        <v>63</v>
      </c>
      <c r="H58" t="b">
        <v>1</v>
      </c>
    </row>
    <row r="59" spans="1:8" x14ac:dyDescent="0.2">
      <c r="A59" t="s">
        <v>82</v>
      </c>
      <c r="B59" t="s">
        <v>13</v>
      </c>
      <c r="C59">
        <v>2017</v>
      </c>
      <c r="D59" t="s">
        <v>10</v>
      </c>
      <c r="E59" s="1">
        <v>43008</v>
      </c>
      <c r="F59">
        <v>77.459999999999994</v>
      </c>
      <c r="G59">
        <v>63</v>
      </c>
      <c r="H59" t="b">
        <v>1</v>
      </c>
    </row>
    <row r="60" spans="1:8" x14ac:dyDescent="0.2">
      <c r="A60" t="s">
        <v>83</v>
      </c>
      <c r="B60" t="s">
        <v>13</v>
      </c>
      <c r="C60">
        <v>2017</v>
      </c>
      <c r="D60" t="s">
        <v>11</v>
      </c>
      <c r="E60" s="1">
        <v>43100</v>
      </c>
      <c r="F60">
        <v>67.650000000000006</v>
      </c>
      <c r="G60">
        <v>63</v>
      </c>
      <c r="H60" t="b">
        <v>1</v>
      </c>
    </row>
    <row r="61" spans="1:8" x14ac:dyDescent="0.2">
      <c r="A61" t="s">
        <v>84</v>
      </c>
      <c r="B61" t="s">
        <v>13</v>
      </c>
      <c r="C61">
        <v>2018</v>
      </c>
      <c r="D61" t="s">
        <v>7</v>
      </c>
      <c r="E61" s="1">
        <v>43190</v>
      </c>
      <c r="F61">
        <v>63.43</v>
      </c>
      <c r="G61">
        <v>61</v>
      </c>
      <c r="H61" t="b">
        <v>1</v>
      </c>
    </row>
    <row r="62" spans="1:8" x14ac:dyDescent="0.2">
      <c r="A62" t="s">
        <v>85</v>
      </c>
      <c r="B62" t="s">
        <v>13</v>
      </c>
      <c r="C62">
        <v>2018</v>
      </c>
      <c r="D62" t="s">
        <v>9</v>
      </c>
      <c r="E62" s="1">
        <v>43281</v>
      </c>
      <c r="F62">
        <v>59.49</v>
      </c>
      <c r="G62">
        <v>64</v>
      </c>
      <c r="H62" t="b">
        <v>1</v>
      </c>
    </row>
    <row r="63" spans="1:8" x14ac:dyDescent="0.2">
      <c r="A63" t="s">
        <v>86</v>
      </c>
      <c r="B63" t="s">
        <v>13</v>
      </c>
      <c r="C63">
        <v>2018</v>
      </c>
      <c r="D63" t="s">
        <v>10</v>
      </c>
      <c r="E63" s="1">
        <v>43373</v>
      </c>
      <c r="F63">
        <v>62.6</v>
      </c>
      <c r="G63">
        <v>63</v>
      </c>
      <c r="H63" t="b">
        <v>1</v>
      </c>
    </row>
    <row r="64" spans="1:8" x14ac:dyDescent="0.2">
      <c r="A64" t="s">
        <v>87</v>
      </c>
      <c r="B64" t="s">
        <v>13</v>
      </c>
      <c r="C64">
        <v>2018</v>
      </c>
      <c r="D64" t="s">
        <v>11</v>
      </c>
      <c r="E64" s="1">
        <v>43465</v>
      </c>
      <c r="F64">
        <v>62.77</v>
      </c>
      <c r="G64">
        <v>63</v>
      </c>
      <c r="H64" t="b">
        <v>1</v>
      </c>
    </row>
    <row r="65" spans="1:8" x14ac:dyDescent="0.2">
      <c r="A65" t="s">
        <v>88</v>
      </c>
      <c r="B65" t="s">
        <v>13</v>
      </c>
      <c r="C65">
        <v>2019</v>
      </c>
      <c r="D65" t="s">
        <v>7</v>
      </c>
      <c r="E65" s="1">
        <v>43555</v>
      </c>
      <c r="F65">
        <v>59.56</v>
      </c>
      <c r="G65">
        <v>61</v>
      </c>
      <c r="H65" t="b">
        <v>1</v>
      </c>
    </row>
    <row r="66" spans="1:8" x14ac:dyDescent="0.2">
      <c r="A66" t="s">
        <v>89</v>
      </c>
      <c r="B66" t="s">
        <v>13</v>
      </c>
      <c r="C66">
        <v>2019</v>
      </c>
      <c r="D66" t="s">
        <v>9</v>
      </c>
      <c r="E66" s="1">
        <v>43646</v>
      </c>
      <c r="F66">
        <v>59.66</v>
      </c>
      <c r="G66">
        <v>63</v>
      </c>
      <c r="H66" t="b">
        <v>1</v>
      </c>
    </row>
    <row r="67" spans="1:8" x14ac:dyDescent="0.2">
      <c r="A67" t="s">
        <v>90</v>
      </c>
      <c r="B67" t="s">
        <v>13</v>
      </c>
      <c r="C67">
        <v>2019</v>
      </c>
      <c r="D67" t="s">
        <v>10</v>
      </c>
      <c r="E67" s="1">
        <v>43738</v>
      </c>
      <c r="F67">
        <v>62.15</v>
      </c>
      <c r="G67">
        <v>64</v>
      </c>
      <c r="H67" t="b">
        <v>1</v>
      </c>
    </row>
    <row r="68" spans="1:8" x14ac:dyDescent="0.2">
      <c r="A68" t="s">
        <v>91</v>
      </c>
      <c r="B68" t="s">
        <v>13</v>
      </c>
      <c r="C68">
        <v>2019</v>
      </c>
      <c r="D68" t="s">
        <v>11</v>
      </c>
      <c r="E68" s="1">
        <v>43830</v>
      </c>
      <c r="F68">
        <v>67.73</v>
      </c>
      <c r="G68">
        <v>64</v>
      </c>
      <c r="H68" t="b">
        <v>1</v>
      </c>
    </row>
    <row r="69" spans="1:8" x14ac:dyDescent="0.2">
      <c r="A69" t="s">
        <v>92</v>
      </c>
      <c r="B69" t="s">
        <v>13</v>
      </c>
      <c r="C69">
        <v>2020</v>
      </c>
      <c r="D69" t="s">
        <v>7</v>
      </c>
      <c r="E69" s="1">
        <v>43921</v>
      </c>
      <c r="F69">
        <v>54.2</v>
      </c>
      <c r="G69">
        <v>62</v>
      </c>
      <c r="H69" t="b">
        <v>1</v>
      </c>
    </row>
    <row r="70" spans="1:8" x14ac:dyDescent="0.2">
      <c r="A70" t="s">
        <v>93</v>
      </c>
      <c r="B70" t="s">
        <v>13</v>
      </c>
      <c r="C70">
        <v>2020</v>
      </c>
      <c r="D70" t="s">
        <v>9</v>
      </c>
      <c r="E70" s="1">
        <v>44012</v>
      </c>
      <c r="F70">
        <v>32.56</v>
      </c>
      <c r="G70">
        <v>63</v>
      </c>
      <c r="H70" t="b">
        <v>1</v>
      </c>
    </row>
    <row r="71" spans="1:8" x14ac:dyDescent="0.2">
      <c r="A71" t="s">
        <v>94</v>
      </c>
      <c r="B71" t="s">
        <v>13</v>
      </c>
      <c r="C71">
        <v>2020</v>
      </c>
      <c r="D71" t="s">
        <v>10</v>
      </c>
      <c r="E71" s="1">
        <v>44104</v>
      </c>
      <c r="F71">
        <v>37.46</v>
      </c>
      <c r="G71">
        <v>64</v>
      </c>
      <c r="H71" t="b">
        <v>1</v>
      </c>
    </row>
    <row r="72" spans="1:8" x14ac:dyDescent="0.2">
      <c r="A72" t="s">
        <v>95</v>
      </c>
      <c r="B72" t="s">
        <v>13</v>
      </c>
      <c r="C72">
        <v>2020</v>
      </c>
      <c r="D72" t="s">
        <v>11</v>
      </c>
      <c r="E72" s="1">
        <v>44196</v>
      </c>
      <c r="F72">
        <v>44.98</v>
      </c>
      <c r="G72">
        <v>64</v>
      </c>
      <c r="H72" t="b">
        <v>1</v>
      </c>
    </row>
    <row r="73" spans="1:8" x14ac:dyDescent="0.2">
      <c r="A73" t="s">
        <v>96</v>
      </c>
      <c r="B73" t="s">
        <v>13</v>
      </c>
      <c r="C73">
        <v>2021</v>
      </c>
      <c r="D73" t="s">
        <v>7</v>
      </c>
      <c r="E73" s="1">
        <v>44286</v>
      </c>
      <c r="F73">
        <v>60.1</v>
      </c>
      <c r="G73">
        <v>61</v>
      </c>
      <c r="H73" t="b">
        <v>1</v>
      </c>
    </row>
    <row r="74" spans="1:8" x14ac:dyDescent="0.2">
      <c r="A74" t="s">
        <v>97</v>
      </c>
      <c r="B74" t="s">
        <v>13</v>
      </c>
      <c r="C74">
        <v>2021</v>
      </c>
      <c r="D74" t="s">
        <v>9</v>
      </c>
      <c r="E74" s="1">
        <v>44377</v>
      </c>
      <c r="F74">
        <v>67.48</v>
      </c>
      <c r="G74">
        <v>63</v>
      </c>
      <c r="H74" t="b">
        <v>1</v>
      </c>
    </row>
    <row r="75" spans="1:8" x14ac:dyDescent="0.2">
      <c r="A75" t="s">
        <v>98</v>
      </c>
      <c r="B75" t="s">
        <v>13</v>
      </c>
      <c r="C75">
        <v>2021</v>
      </c>
      <c r="D75" t="s">
        <v>10</v>
      </c>
      <c r="E75" s="1">
        <v>44469</v>
      </c>
      <c r="F75">
        <v>57.63</v>
      </c>
      <c r="G75">
        <v>64</v>
      </c>
      <c r="H75" t="b">
        <v>1</v>
      </c>
    </row>
    <row r="76" spans="1:8" x14ac:dyDescent="0.2">
      <c r="A76" t="s">
        <v>99</v>
      </c>
      <c r="B76" t="s">
        <v>13</v>
      </c>
      <c r="C76">
        <v>2021</v>
      </c>
      <c r="D76" t="s">
        <v>11</v>
      </c>
      <c r="E76" s="1">
        <v>44561</v>
      </c>
      <c r="F76">
        <v>54.14</v>
      </c>
      <c r="G76">
        <v>64</v>
      </c>
      <c r="H76" t="b">
        <v>1</v>
      </c>
    </row>
    <row r="77" spans="1:8" x14ac:dyDescent="0.2">
      <c r="A77" t="s">
        <v>100</v>
      </c>
      <c r="B77" t="s">
        <v>13</v>
      </c>
      <c r="C77">
        <v>2022</v>
      </c>
      <c r="D77" t="s">
        <v>7</v>
      </c>
      <c r="E77" s="1">
        <v>44651</v>
      </c>
      <c r="F77">
        <v>54.53</v>
      </c>
      <c r="G77">
        <v>62</v>
      </c>
      <c r="H77" t="b">
        <v>1</v>
      </c>
    </row>
    <row r="78" spans="1:8" x14ac:dyDescent="0.2">
      <c r="A78" t="s">
        <v>101</v>
      </c>
      <c r="B78" t="s">
        <v>13</v>
      </c>
      <c r="C78">
        <v>2022</v>
      </c>
      <c r="D78" t="s">
        <v>9</v>
      </c>
      <c r="E78" s="1">
        <v>44742</v>
      </c>
      <c r="F78">
        <v>48.82</v>
      </c>
      <c r="G78">
        <v>62</v>
      </c>
      <c r="H78" t="b">
        <v>1</v>
      </c>
    </row>
    <row r="79" spans="1:8" x14ac:dyDescent="0.2">
      <c r="A79" t="s">
        <v>102</v>
      </c>
      <c r="B79" t="s">
        <v>13</v>
      </c>
      <c r="C79">
        <v>2022</v>
      </c>
      <c r="D79" t="s">
        <v>10</v>
      </c>
      <c r="E79" s="1">
        <v>44834</v>
      </c>
      <c r="F79">
        <v>43.92</v>
      </c>
      <c r="G79">
        <v>64</v>
      </c>
      <c r="H79" t="b">
        <v>1</v>
      </c>
    </row>
    <row r="80" spans="1:8" x14ac:dyDescent="0.2">
      <c r="A80" t="s">
        <v>103</v>
      </c>
      <c r="B80" t="s">
        <v>13</v>
      </c>
      <c r="C80">
        <v>2022</v>
      </c>
      <c r="D80" t="s">
        <v>11</v>
      </c>
      <c r="E80" s="1">
        <v>44926</v>
      </c>
      <c r="F80">
        <v>44.06</v>
      </c>
      <c r="G80">
        <v>63</v>
      </c>
      <c r="H80" t="b">
        <v>1</v>
      </c>
    </row>
    <row r="81" spans="1:8" x14ac:dyDescent="0.2">
      <c r="A81" t="s">
        <v>104</v>
      </c>
      <c r="B81" t="s">
        <v>13</v>
      </c>
      <c r="C81">
        <v>2023</v>
      </c>
      <c r="D81" t="s">
        <v>7</v>
      </c>
      <c r="E81" s="1">
        <v>45016</v>
      </c>
      <c r="F81">
        <v>46.91</v>
      </c>
      <c r="G81">
        <v>62</v>
      </c>
      <c r="H81" t="b">
        <v>1</v>
      </c>
    </row>
    <row r="82" spans="1:8" x14ac:dyDescent="0.2">
      <c r="A82" t="s">
        <v>105</v>
      </c>
      <c r="B82" t="s">
        <v>13</v>
      </c>
      <c r="C82">
        <v>2023</v>
      </c>
      <c r="D82" t="s">
        <v>9</v>
      </c>
      <c r="E82" s="1">
        <v>45107</v>
      </c>
      <c r="F82">
        <v>45.46</v>
      </c>
      <c r="G82">
        <v>62</v>
      </c>
      <c r="H82" t="b">
        <v>1</v>
      </c>
    </row>
    <row r="83" spans="1:8" x14ac:dyDescent="0.2">
      <c r="A83" t="s">
        <v>106</v>
      </c>
      <c r="B83" t="s">
        <v>13</v>
      </c>
      <c r="C83">
        <v>2023</v>
      </c>
      <c r="D83" t="s">
        <v>10</v>
      </c>
      <c r="E83" s="1">
        <v>45199</v>
      </c>
      <c r="F83">
        <v>45.29</v>
      </c>
      <c r="G83">
        <v>63</v>
      </c>
      <c r="H83" t="b">
        <v>1</v>
      </c>
    </row>
    <row r="84" spans="1:8" x14ac:dyDescent="0.2">
      <c r="A84" t="s">
        <v>107</v>
      </c>
      <c r="B84" t="s">
        <v>13</v>
      </c>
      <c r="C84">
        <v>2023</v>
      </c>
      <c r="D84" t="s">
        <v>11</v>
      </c>
      <c r="E84" s="1">
        <v>45291</v>
      </c>
      <c r="F84">
        <v>35.659999999999997</v>
      </c>
      <c r="G84">
        <v>63</v>
      </c>
      <c r="H84" t="b">
        <v>1</v>
      </c>
    </row>
    <row r="85" spans="1:8" x14ac:dyDescent="0.2">
      <c r="A85" t="s">
        <v>108</v>
      </c>
      <c r="B85" t="s">
        <v>13</v>
      </c>
      <c r="C85">
        <v>2024</v>
      </c>
      <c r="D85" t="s">
        <v>7</v>
      </c>
      <c r="E85" s="1">
        <v>45382</v>
      </c>
      <c r="F85">
        <v>37.409999999999997</v>
      </c>
      <c r="G85">
        <v>61</v>
      </c>
      <c r="H85" t="b">
        <v>1</v>
      </c>
    </row>
    <row r="86" spans="1:8" x14ac:dyDescent="0.2">
      <c r="A86" t="s">
        <v>109</v>
      </c>
      <c r="B86" t="s">
        <v>13</v>
      </c>
      <c r="C86">
        <v>2024</v>
      </c>
      <c r="D86" t="s">
        <v>9</v>
      </c>
      <c r="E86" s="1">
        <v>45473</v>
      </c>
      <c r="F86">
        <v>42.43</v>
      </c>
      <c r="G86">
        <v>63</v>
      </c>
      <c r="H86" t="b">
        <v>1</v>
      </c>
    </row>
    <row r="87" spans="1:8" x14ac:dyDescent="0.2">
      <c r="A87" t="s">
        <v>110</v>
      </c>
      <c r="B87" t="s">
        <v>13</v>
      </c>
      <c r="C87">
        <v>2024</v>
      </c>
      <c r="D87" t="s">
        <v>10</v>
      </c>
      <c r="E87" s="1">
        <v>45565</v>
      </c>
      <c r="F87">
        <v>37.94</v>
      </c>
      <c r="G87">
        <v>64</v>
      </c>
      <c r="H87" t="b">
        <v>1</v>
      </c>
    </row>
    <row r="88" spans="1:8" x14ac:dyDescent="0.2">
      <c r="A88" t="s">
        <v>111</v>
      </c>
      <c r="B88" t="s">
        <v>13</v>
      </c>
      <c r="C88">
        <v>2024</v>
      </c>
      <c r="D88" t="s">
        <v>11</v>
      </c>
      <c r="E88" s="1">
        <v>45657</v>
      </c>
      <c r="F88">
        <v>52.57</v>
      </c>
      <c r="G88">
        <v>64</v>
      </c>
      <c r="H88" t="b">
        <v>1</v>
      </c>
    </row>
    <row r="89" spans="1:8" x14ac:dyDescent="0.2">
      <c r="A89" t="s">
        <v>112</v>
      </c>
      <c r="B89" t="s">
        <v>13</v>
      </c>
      <c r="C89">
        <v>2025</v>
      </c>
      <c r="D89" t="s">
        <v>7</v>
      </c>
      <c r="E89" s="1">
        <v>45747</v>
      </c>
      <c r="F89">
        <v>65.650000000000006</v>
      </c>
      <c r="G89">
        <v>60</v>
      </c>
      <c r="H89" t="b">
        <v>1</v>
      </c>
    </row>
    <row r="90" spans="1:8" x14ac:dyDescent="0.2">
      <c r="A90" t="s">
        <v>113</v>
      </c>
      <c r="B90" t="s">
        <v>13</v>
      </c>
      <c r="C90">
        <v>2025</v>
      </c>
      <c r="D90" t="s">
        <v>9</v>
      </c>
      <c r="E90" s="1">
        <v>45838</v>
      </c>
      <c r="F90">
        <v>48.58</v>
      </c>
      <c r="G90">
        <v>62</v>
      </c>
      <c r="H90" t="b">
        <v>1</v>
      </c>
    </row>
    <row r="91" spans="1:8" x14ac:dyDescent="0.2">
      <c r="A91" t="s">
        <v>114</v>
      </c>
      <c r="B91" t="s">
        <v>13</v>
      </c>
      <c r="C91">
        <v>2025</v>
      </c>
      <c r="D91" t="s">
        <v>10</v>
      </c>
      <c r="E91" s="1">
        <v>45930</v>
      </c>
      <c r="F91">
        <v>55.61</v>
      </c>
      <c r="G91">
        <v>64</v>
      </c>
      <c r="H91" t="b">
        <v>1</v>
      </c>
    </row>
    <row r="92" spans="1:8" x14ac:dyDescent="0.2">
      <c r="A92" t="s">
        <v>115</v>
      </c>
      <c r="B92" t="s">
        <v>13</v>
      </c>
      <c r="C92">
        <v>2025</v>
      </c>
      <c r="D92" t="s">
        <v>11</v>
      </c>
      <c r="E92" s="1">
        <v>46022</v>
      </c>
      <c r="F92">
        <v>46.23</v>
      </c>
      <c r="G92">
        <v>64</v>
      </c>
      <c r="H92" t="b">
        <v>1</v>
      </c>
    </row>
    <row r="93" spans="1:8" x14ac:dyDescent="0.2">
      <c r="A93" t="s">
        <v>116</v>
      </c>
      <c r="B93" t="s">
        <v>13</v>
      </c>
      <c r="C93">
        <v>2026</v>
      </c>
      <c r="D93" t="s">
        <v>7</v>
      </c>
      <c r="E93" s="1">
        <v>46112</v>
      </c>
      <c r="F93">
        <v>48.21</v>
      </c>
      <c r="G93">
        <v>61</v>
      </c>
      <c r="H93" t="b">
        <v>1</v>
      </c>
    </row>
    <row r="94" spans="1:8" x14ac:dyDescent="0.2">
      <c r="A94" t="s">
        <v>117</v>
      </c>
      <c r="B94" t="s">
        <v>13</v>
      </c>
      <c r="C94">
        <v>2026</v>
      </c>
      <c r="D94" t="s">
        <v>9</v>
      </c>
      <c r="E94" s="1">
        <v>46203</v>
      </c>
      <c r="F94">
        <v>42.71</v>
      </c>
      <c r="G94">
        <v>62</v>
      </c>
      <c r="H94" t="b">
        <v>1</v>
      </c>
    </row>
    <row r="95" spans="1:8" x14ac:dyDescent="0.2">
      <c r="A95" t="s">
        <v>118</v>
      </c>
      <c r="B95" t="s">
        <v>13</v>
      </c>
      <c r="C95">
        <v>2026</v>
      </c>
      <c r="D95" t="s">
        <v>10</v>
      </c>
      <c r="E95" s="1">
        <v>46295</v>
      </c>
      <c r="F95">
        <v>46.1</v>
      </c>
      <c r="G95">
        <v>47</v>
      </c>
      <c r="H95" t="b">
        <v>0</v>
      </c>
    </row>
    <row r="96" spans="1:8" x14ac:dyDescent="0.2">
      <c r="A96" t="s">
        <v>119</v>
      </c>
      <c r="B96" t="s">
        <v>14</v>
      </c>
      <c r="C96">
        <v>2015</v>
      </c>
      <c r="D96" t="s">
        <v>7</v>
      </c>
      <c r="E96" s="1">
        <v>42094</v>
      </c>
      <c r="F96">
        <v>40.33</v>
      </c>
      <c r="G96">
        <v>61</v>
      </c>
      <c r="H96" t="b">
        <v>1</v>
      </c>
    </row>
    <row r="97" spans="1:8" x14ac:dyDescent="0.2">
      <c r="A97" t="s">
        <v>120</v>
      </c>
      <c r="B97" t="s">
        <v>14</v>
      </c>
      <c r="C97">
        <v>2015</v>
      </c>
      <c r="D97" t="s">
        <v>9</v>
      </c>
      <c r="E97" s="1">
        <v>42185</v>
      </c>
      <c r="F97">
        <v>38.1</v>
      </c>
      <c r="G97">
        <v>63</v>
      </c>
      <c r="H97" t="b">
        <v>1</v>
      </c>
    </row>
    <row r="98" spans="1:8" x14ac:dyDescent="0.2">
      <c r="A98" t="s">
        <v>121</v>
      </c>
      <c r="B98" t="s">
        <v>14</v>
      </c>
      <c r="C98">
        <v>2015</v>
      </c>
      <c r="D98" t="s">
        <v>10</v>
      </c>
      <c r="E98" s="1">
        <v>42277</v>
      </c>
      <c r="F98">
        <v>39.24</v>
      </c>
      <c r="G98">
        <v>64</v>
      </c>
      <c r="H98" t="b">
        <v>1</v>
      </c>
    </row>
    <row r="99" spans="1:8" x14ac:dyDescent="0.2">
      <c r="A99" t="s">
        <v>122</v>
      </c>
      <c r="B99" t="s">
        <v>14</v>
      </c>
      <c r="C99">
        <v>2015</v>
      </c>
      <c r="D99" t="s">
        <v>11</v>
      </c>
      <c r="E99" s="1">
        <v>42369</v>
      </c>
      <c r="F99">
        <v>43.33</v>
      </c>
      <c r="G99">
        <v>64</v>
      </c>
      <c r="H99" t="b">
        <v>1</v>
      </c>
    </row>
    <row r="100" spans="1:8" x14ac:dyDescent="0.2">
      <c r="A100" t="s">
        <v>123</v>
      </c>
      <c r="B100" t="s">
        <v>14</v>
      </c>
      <c r="C100">
        <v>2016</v>
      </c>
      <c r="D100" t="s">
        <v>7</v>
      </c>
      <c r="E100" s="1">
        <v>42460</v>
      </c>
      <c r="F100">
        <v>41.05</v>
      </c>
      <c r="G100">
        <v>61</v>
      </c>
      <c r="H100" t="b">
        <v>1</v>
      </c>
    </row>
    <row r="101" spans="1:8" x14ac:dyDescent="0.2">
      <c r="A101" t="s">
        <v>124</v>
      </c>
      <c r="B101" t="s">
        <v>14</v>
      </c>
      <c r="C101">
        <v>2016</v>
      </c>
      <c r="D101" t="s">
        <v>9</v>
      </c>
      <c r="E101" s="1">
        <v>42551</v>
      </c>
      <c r="F101">
        <v>37.49</v>
      </c>
      <c r="G101">
        <v>64</v>
      </c>
      <c r="H101" t="b">
        <v>1</v>
      </c>
    </row>
    <row r="102" spans="1:8" x14ac:dyDescent="0.2">
      <c r="A102" t="s">
        <v>125</v>
      </c>
      <c r="B102" t="s">
        <v>14</v>
      </c>
      <c r="C102">
        <v>2016</v>
      </c>
      <c r="D102" t="s">
        <v>10</v>
      </c>
      <c r="E102" s="1">
        <v>42643</v>
      </c>
      <c r="F102">
        <v>33.51</v>
      </c>
      <c r="G102">
        <v>64</v>
      </c>
      <c r="H102" t="b">
        <v>1</v>
      </c>
    </row>
    <row r="103" spans="1:8" x14ac:dyDescent="0.2">
      <c r="A103" t="s">
        <v>126</v>
      </c>
      <c r="B103" t="s">
        <v>14</v>
      </c>
      <c r="C103">
        <v>2016</v>
      </c>
      <c r="D103" t="s">
        <v>11</v>
      </c>
      <c r="E103" s="1">
        <v>42735</v>
      </c>
      <c r="F103">
        <v>40.590000000000003</v>
      </c>
      <c r="G103">
        <v>63</v>
      </c>
      <c r="H103" t="b">
        <v>1</v>
      </c>
    </row>
    <row r="104" spans="1:8" x14ac:dyDescent="0.2">
      <c r="A104" t="s">
        <v>127</v>
      </c>
      <c r="B104" t="s">
        <v>14</v>
      </c>
      <c r="C104">
        <v>2017</v>
      </c>
      <c r="D104" t="s">
        <v>7</v>
      </c>
      <c r="E104" s="1">
        <v>42825</v>
      </c>
      <c r="F104">
        <v>43.61</v>
      </c>
      <c r="G104">
        <v>62</v>
      </c>
      <c r="H104" t="b">
        <v>1</v>
      </c>
    </row>
    <row r="105" spans="1:8" x14ac:dyDescent="0.2">
      <c r="A105" t="s">
        <v>128</v>
      </c>
      <c r="B105" t="s">
        <v>14</v>
      </c>
      <c r="C105">
        <v>2017</v>
      </c>
      <c r="D105" t="s">
        <v>9</v>
      </c>
      <c r="E105" s="1">
        <v>42916</v>
      </c>
      <c r="F105">
        <v>43.97</v>
      </c>
      <c r="G105">
        <v>63</v>
      </c>
      <c r="H105" t="b">
        <v>1</v>
      </c>
    </row>
    <row r="106" spans="1:8" x14ac:dyDescent="0.2">
      <c r="A106" t="s">
        <v>129</v>
      </c>
      <c r="B106" t="s">
        <v>14</v>
      </c>
      <c r="C106">
        <v>2017</v>
      </c>
      <c r="D106" t="s">
        <v>10</v>
      </c>
      <c r="E106" s="1">
        <v>43008</v>
      </c>
      <c r="F106">
        <v>44.94</v>
      </c>
      <c r="G106">
        <v>63</v>
      </c>
      <c r="H106" t="b">
        <v>1</v>
      </c>
    </row>
    <row r="107" spans="1:8" x14ac:dyDescent="0.2">
      <c r="A107" t="s">
        <v>130</v>
      </c>
      <c r="B107" t="s">
        <v>14</v>
      </c>
      <c r="C107">
        <v>2017</v>
      </c>
      <c r="D107" t="s">
        <v>11</v>
      </c>
      <c r="E107" s="1">
        <v>43100</v>
      </c>
      <c r="F107">
        <v>47.41</v>
      </c>
      <c r="G107">
        <v>63</v>
      </c>
      <c r="H107" t="b">
        <v>1</v>
      </c>
    </row>
    <row r="108" spans="1:8" x14ac:dyDescent="0.2">
      <c r="A108" t="s">
        <v>131</v>
      </c>
      <c r="B108" t="s">
        <v>14</v>
      </c>
      <c r="C108">
        <v>2018</v>
      </c>
      <c r="D108" t="s">
        <v>7</v>
      </c>
      <c r="E108" s="1">
        <v>43190</v>
      </c>
      <c r="F108">
        <v>50.35</v>
      </c>
      <c r="G108">
        <v>61</v>
      </c>
      <c r="H108" t="b">
        <v>1</v>
      </c>
    </row>
    <row r="109" spans="1:8" x14ac:dyDescent="0.2">
      <c r="A109" t="s">
        <v>132</v>
      </c>
      <c r="B109" t="s">
        <v>14</v>
      </c>
      <c r="C109">
        <v>2018</v>
      </c>
      <c r="D109" t="s">
        <v>9</v>
      </c>
      <c r="E109" s="1">
        <v>43281</v>
      </c>
      <c r="F109">
        <v>49.01</v>
      </c>
      <c r="G109">
        <v>64</v>
      </c>
      <c r="H109" t="b">
        <v>1</v>
      </c>
    </row>
    <row r="110" spans="1:8" x14ac:dyDescent="0.2">
      <c r="A110" t="s">
        <v>133</v>
      </c>
      <c r="B110" t="s">
        <v>14</v>
      </c>
      <c r="C110">
        <v>2018</v>
      </c>
      <c r="D110" t="s">
        <v>10</v>
      </c>
      <c r="E110" s="1">
        <v>43373</v>
      </c>
      <c r="F110">
        <v>50.99</v>
      </c>
      <c r="G110">
        <v>63</v>
      </c>
      <c r="H110" t="b">
        <v>1</v>
      </c>
    </row>
    <row r="111" spans="1:8" x14ac:dyDescent="0.2">
      <c r="A111" t="s">
        <v>134</v>
      </c>
      <c r="B111" t="s">
        <v>14</v>
      </c>
      <c r="C111">
        <v>2018</v>
      </c>
      <c r="D111" t="s">
        <v>11</v>
      </c>
      <c r="E111" s="1">
        <v>43465</v>
      </c>
      <c r="F111">
        <v>50.69</v>
      </c>
      <c r="G111">
        <v>63</v>
      </c>
      <c r="H111" t="b">
        <v>1</v>
      </c>
    </row>
    <row r="112" spans="1:8" x14ac:dyDescent="0.2">
      <c r="A112" t="s">
        <v>135</v>
      </c>
      <c r="B112" t="s">
        <v>14</v>
      </c>
      <c r="C112">
        <v>2019</v>
      </c>
      <c r="D112" t="s">
        <v>7</v>
      </c>
      <c r="E112" s="1">
        <v>43555</v>
      </c>
      <c r="F112">
        <v>46.41</v>
      </c>
      <c r="G112">
        <v>61</v>
      </c>
      <c r="H112" t="b">
        <v>1</v>
      </c>
    </row>
    <row r="113" spans="1:8" x14ac:dyDescent="0.2">
      <c r="A113" t="s">
        <v>136</v>
      </c>
      <c r="B113" t="s">
        <v>14</v>
      </c>
      <c r="C113">
        <v>2019</v>
      </c>
      <c r="D113" t="s">
        <v>9</v>
      </c>
      <c r="E113" s="1">
        <v>43646</v>
      </c>
      <c r="F113">
        <v>52.87</v>
      </c>
      <c r="G113">
        <v>63</v>
      </c>
      <c r="H113" t="b">
        <v>1</v>
      </c>
    </row>
    <row r="114" spans="1:8" x14ac:dyDescent="0.2">
      <c r="A114" t="s">
        <v>137</v>
      </c>
      <c r="B114" t="s">
        <v>14</v>
      </c>
      <c r="C114">
        <v>2019</v>
      </c>
      <c r="D114" t="s">
        <v>10</v>
      </c>
      <c r="E114" s="1">
        <v>43738</v>
      </c>
      <c r="F114">
        <v>56.27</v>
      </c>
      <c r="G114">
        <v>64</v>
      </c>
      <c r="H114" t="b">
        <v>1</v>
      </c>
    </row>
    <row r="115" spans="1:8" x14ac:dyDescent="0.2">
      <c r="A115" t="s">
        <v>138</v>
      </c>
      <c r="B115" t="s">
        <v>14</v>
      </c>
      <c r="C115">
        <v>2019</v>
      </c>
      <c r="D115" t="s">
        <v>11</v>
      </c>
      <c r="E115" s="1">
        <v>43830</v>
      </c>
      <c r="F115">
        <v>53.67</v>
      </c>
      <c r="G115">
        <v>64</v>
      </c>
      <c r="H115" t="b">
        <v>1</v>
      </c>
    </row>
    <row r="116" spans="1:8" x14ac:dyDescent="0.2">
      <c r="A116" t="s">
        <v>139</v>
      </c>
      <c r="B116" t="s">
        <v>14</v>
      </c>
      <c r="C116">
        <v>2020</v>
      </c>
      <c r="D116" t="s">
        <v>7</v>
      </c>
      <c r="E116" s="1">
        <v>43921</v>
      </c>
      <c r="F116">
        <v>47.64</v>
      </c>
      <c r="G116">
        <v>62</v>
      </c>
      <c r="H116" t="b">
        <v>1</v>
      </c>
    </row>
    <row r="117" spans="1:8" x14ac:dyDescent="0.2">
      <c r="A117" t="s">
        <v>140</v>
      </c>
      <c r="B117" t="s">
        <v>14</v>
      </c>
      <c r="C117">
        <v>2020</v>
      </c>
      <c r="D117" t="s">
        <v>9</v>
      </c>
      <c r="E117" s="1">
        <v>44012</v>
      </c>
      <c r="F117">
        <v>24.56</v>
      </c>
      <c r="G117">
        <v>63</v>
      </c>
      <c r="H117" t="b">
        <v>1</v>
      </c>
    </row>
    <row r="118" spans="1:8" x14ac:dyDescent="0.2">
      <c r="A118" t="s">
        <v>141</v>
      </c>
      <c r="B118" t="s">
        <v>14</v>
      </c>
      <c r="C118">
        <v>2020</v>
      </c>
      <c r="D118" t="s">
        <v>10</v>
      </c>
      <c r="E118" s="1">
        <v>44104</v>
      </c>
      <c r="F118">
        <v>27.83</v>
      </c>
      <c r="G118">
        <v>64</v>
      </c>
      <c r="H118" t="b">
        <v>1</v>
      </c>
    </row>
    <row r="119" spans="1:8" x14ac:dyDescent="0.2">
      <c r="A119" t="s">
        <v>142</v>
      </c>
      <c r="B119" t="s">
        <v>14</v>
      </c>
      <c r="C119">
        <v>2020</v>
      </c>
      <c r="D119" t="s">
        <v>11</v>
      </c>
      <c r="E119" s="1">
        <v>44196</v>
      </c>
      <c r="F119">
        <v>35.11</v>
      </c>
      <c r="G119">
        <v>64</v>
      </c>
      <c r="H119" t="b">
        <v>1</v>
      </c>
    </row>
    <row r="120" spans="1:8" x14ac:dyDescent="0.2">
      <c r="A120" t="s">
        <v>143</v>
      </c>
      <c r="B120" t="s">
        <v>14</v>
      </c>
      <c r="C120">
        <v>2021</v>
      </c>
      <c r="D120" t="s">
        <v>7</v>
      </c>
      <c r="E120" s="1">
        <v>44286</v>
      </c>
      <c r="F120">
        <v>42.7</v>
      </c>
      <c r="G120">
        <v>61</v>
      </c>
      <c r="H120" t="b">
        <v>1</v>
      </c>
    </row>
    <row r="121" spans="1:8" x14ac:dyDescent="0.2">
      <c r="A121" t="s">
        <v>144</v>
      </c>
      <c r="B121" t="s">
        <v>14</v>
      </c>
      <c r="C121">
        <v>2021</v>
      </c>
      <c r="D121" t="s">
        <v>9</v>
      </c>
      <c r="E121" s="1">
        <v>44377</v>
      </c>
      <c r="F121">
        <v>44.69</v>
      </c>
      <c r="G121">
        <v>63</v>
      </c>
      <c r="H121" t="b">
        <v>1</v>
      </c>
    </row>
    <row r="122" spans="1:8" x14ac:dyDescent="0.2">
      <c r="A122" t="s">
        <v>145</v>
      </c>
      <c r="B122" t="s">
        <v>14</v>
      </c>
      <c r="C122">
        <v>2021</v>
      </c>
      <c r="D122" t="s">
        <v>10</v>
      </c>
      <c r="E122" s="1">
        <v>44469</v>
      </c>
      <c r="F122">
        <v>39.409999999999997</v>
      </c>
      <c r="G122">
        <v>64</v>
      </c>
      <c r="H122" t="b">
        <v>1</v>
      </c>
    </row>
    <row r="123" spans="1:8" x14ac:dyDescent="0.2">
      <c r="A123" t="s">
        <v>146</v>
      </c>
      <c r="B123" t="s">
        <v>14</v>
      </c>
      <c r="C123">
        <v>2021</v>
      </c>
      <c r="D123" t="s">
        <v>11</v>
      </c>
      <c r="E123" s="1">
        <v>44561</v>
      </c>
      <c r="F123">
        <v>38.64</v>
      </c>
      <c r="G123">
        <v>64</v>
      </c>
      <c r="H123" t="b">
        <v>1</v>
      </c>
    </row>
    <row r="124" spans="1:8" x14ac:dyDescent="0.2">
      <c r="A124" t="s">
        <v>147</v>
      </c>
      <c r="B124" t="s">
        <v>14</v>
      </c>
      <c r="C124">
        <v>2022</v>
      </c>
      <c r="D124" t="s">
        <v>7</v>
      </c>
      <c r="E124" s="1">
        <v>44651</v>
      </c>
      <c r="F124">
        <v>37.590000000000003</v>
      </c>
      <c r="G124">
        <v>62</v>
      </c>
      <c r="H124" t="b">
        <v>1</v>
      </c>
    </row>
    <row r="125" spans="1:8" x14ac:dyDescent="0.2">
      <c r="A125" t="s">
        <v>148</v>
      </c>
      <c r="B125" t="s">
        <v>14</v>
      </c>
      <c r="C125">
        <v>2022</v>
      </c>
      <c r="D125" t="s">
        <v>9</v>
      </c>
      <c r="E125" s="1">
        <v>44742</v>
      </c>
      <c r="F125">
        <v>36.799999999999997</v>
      </c>
      <c r="G125">
        <v>62</v>
      </c>
      <c r="H125" t="b">
        <v>1</v>
      </c>
    </row>
    <row r="126" spans="1:8" x14ac:dyDescent="0.2">
      <c r="A126" t="s">
        <v>149</v>
      </c>
      <c r="B126" t="s">
        <v>14</v>
      </c>
      <c r="C126">
        <v>2022</v>
      </c>
      <c r="D126" t="s">
        <v>10</v>
      </c>
      <c r="E126" s="1">
        <v>44834</v>
      </c>
      <c r="F126">
        <v>30.65</v>
      </c>
      <c r="G126">
        <v>64</v>
      </c>
      <c r="H126" t="b">
        <v>1</v>
      </c>
    </row>
    <row r="127" spans="1:8" x14ac:dyDescent="0.2">
      <c r="A127" t="s">
        <v>150</v>
      </c>
      <c r="B127" t="s">
        <v>14</v>
      </c>
      <c r="C127">
        <v>2022</v>
      </c>
      <c r="D127" t="s">
        <v>11</v>
      </c>
      <c r="E127" s="1">
        <v>44926</v>
      </c>
      <c r="F127">
        <v>31.99</v>
      </c>
      <c r="G127">
        <v>63</v>
      </c>
      <c r="H127" t="b">
        <v>1</v>
      </c>
    </row>
    <row r="128" spans="1:8" x14ac:dyDescent="0.2">
      <c r="A128" t="s">
        <v>151</v>
      </c>
      <c r="B128" t="s">
        <v>14</v>
      </c>
      <c r="C128">
        <v>2023</v>
      </c>
      <c r="D128" t="s">
        <v>7</v>
      </c>
      <c r="E128" s="1">
        <v>45016</v>
      </c>
      <c r="F128">
        <v>35.81</v>
      </c>
      <c r="G128">
        <v>62</v>
      </c>
      <c r="H128" t="b">
        <v>1</v>
      </c>
    </row>
    <row r="129" spans="1:8" x14ac:dyDescent="0.2">
      <c r="A129" t="s">
        <v>152</v>
      </c>
      <c r="B129" t="s">
        <v>14</v>
      </c>
      <c r="C129">
        <v>2023</v>
      </c>
      <c r="D129" t="s">
        <v>9</v>
      </c>
      <c r="E129" s="1">
        <v>45107</v>
      </c>
      <c r="F129">
        <v>35.61</v>
      </c>
      <c r="G129">
        <v>62</v>
      </c>
      <c r="H129" t="b">
        <v>1</v>
      </c>
    </row>
    <row r="130" spans="1:8" x14ac:dyDescent="0.2">
      <c r="A130" t="s">
        <v>153</v>
      </c>
      <c r="B130" t="s">
        <v>14</v>
      </c>
      <c r="C130">
        <v>2023</v>
      </c>
      <c r="D130" t="s">
        <v>10</v>
      </c>
      <c r="E130" s="1">
        <v>45199</v>
      </c>
      <c r="F130">
        <v>41.99</v>
      </c>
      <c r="G130">
        <v>63</v>
      </c>
      <c r="H130" t="b">
        <v>1</v>
      </c>
    </row>
    <row r="131" spans="1:8" x14ac:dyDescent="0.2">
      <c r="A131" t="s">
        <v>154</v>
      </c>
      <c r="B131" t="s">
        <v>14</v>
      </c>
      <c r="C131">
        <v>2023</v>
      </c>
      <c r="D131" t="s">
        <v>11</v>
      </c>
      <c r="E131" s="1">
        <v>45291</v>
      </c>
      <c r="F131">
        <v>35.159999999999997</v>
      </c>
      <c r="G131">
        <v>63</v>
      </c>
      <c r="H131" t="b">
        <v>1</v>
      </c>
    </row>
    <row r="132" spans="1:8" x14ac:dyDescent="0.2">
      <c r="A132" t="s">
        <v>155</v>
      </c>
      <c r="B132" t="s">
        <v>14</v>
      </c>
      <c r="C132">
        <v>2024</v>
      </c>
      <c r="D132" t="s">
        <v>7</v>
      </c>
      <c r="E132" s="1">
        <v>45382</v>
      </c>
      <c r="F132">
        <v>40.15</v>
      </c>
      <c r="G132">
        <v>61</v>
      </c>
      <c r="H132" t="b">
        <v>1</v>
      </c>
    </row>
    <row r="133" spans="1:8" x14ac:dyDescent="0.2">
      <c r="A133" t="s">
        <v>156</v>
      </c>
      <c r="B133" t="s">
        <v>14</v>
      </c>
      <c r="C133">
        <v>2024</v>
      </c>
      <c r="D133" t="s">
        <v>9</v>
      </c>
      <c r="E133" s="1">
        <v>45473</v>
      </c>
      <c r="F133">
        <v>48.43</v>
      </c>
      <c r="G133">
        <v>63</v>
      </c>
      <c r="H133" t="b">
        <v>1</v>
      </c>
    </row>
    <row r="134" spans="1:8" x14ac:dyDescent="0.2">
      <c r="A134" t="s">
        <v>157</v>
      </c>
      <c r="B134" t="s">
        <v>14</v>
      </c>
      <c r="C134">
        <v>2024</v>
      </c>
      <c r="D134" t="s">
        <v>10</v>
      </c>
      <c r="E134" s="1">
        <v>45565</v>
      </c>
      <c r="F134">
        <v>42.55</v>
      </c>
      <c r="G134">
        <v>64</v>
      </c>
      <c r="H134" t="b">
        <v>1</v>
      </c>
    </row>
    <row r="135" spans="1:8" x14ac:dyDescent="0.2">
      <c r="A135" t="s">
        <v>158</v>
      </c>
      <c r="B135" t="s">
        <v>14</v>
      </c>
      <c r="C135">
        <v>2024</v>
      </c>
      <c r="D135" t="s">
        <v>11</v>
      </c>
      <c r="E135" s="1">
        <v>45657</v>
      </c>
      <c r="F135">
        <v>57.87</v>
      </c>
      <c r="G135">
        <v>64</v>
      </c>
      <c r="H135" t="b">
        <v>1</v>
      </c>
    </row>
    <row r="136" spans="1:8" x14ac:dyDescent="0.2">
      <c r="A136" t="s">
        <v>159</v>
      </c>
      <c r="B136" t="s">
        <v>14</v>
      </c>
      <c r="C136">
        <v>2025</v>
      </c>
      <c r="D136" t="s">
        <v>7</v>
      </c>
      <c r="E136" s="1">
        <v>45747</v>
      </c>
      <c r="F136">
        <v>58.17</v>
      </c>
      <c r="G136">
        <v>60</v>
      </c>
      <c r="H136" t="b">
        <v>1</v>
      </c>
    </row>
    <row r="137" spans="1:8" x14ac:dyDescent="0.2">
      <c r="A137" t="s">
        <v>160</v>
      </c>
      <c r="B137" t="s">
        <v>14</v>
      </c>
      <c r="C137">
        <v>2025</v>
      </c>
      <c r="D137" t="s">
        <v>9</v>
      </c>
      <c r="E137" s="1">
        <v>45838</v>
      </c>
      <c r="F137">
        <v>45.2</v>
      </c>
      <c r="G137">
        <v>62</v>
      </c>
      <c r="H137" t="b">
        <v>1</v>
      </c>
    </row>
    <row r="138" spans="1:8" x14ac:dyDescent="0.2">
      <c r="A138" t="s">
        <v>161</v>
      </c>
      <c r="B138" t="s">
        <v>14</v>
      </c>
      <c r="C138">
        <v>2025</v>
      </c>
      <c r="D138" t="s">
        <v>10</v>
      </c>
      <c r="E138" s="1">
        <v>45930</v>
      </c>
      <c r="F138">
        <v>56.39</v>
      </c>
      <c r="G138">
        <v>64</v>
      </c>
      <c r="H138" t="b">
        <v>1</v>
      </c>
    </row>
    <row r="139" spans="1:8" x14ac:dyDescent="0.2">
      <c r="A139" t="s">
        <v>162</v>
      </c>
      <c r="B139" t="s">
        <v>14</v>
      </c>
      <c r="C139">
        <v>2025</v>
      </c>
      <c r="D139" t="s">
        <v>11</v>
      </c>
      <c r="E139" s="1">
        <v>46022</v>
      </c>
      <c r="F139">
        <v>61.96</v>
      </c>
      <c r="G139">
        <v>64</v>
      </c>
      <c r="H139" t="b">
        <v>1</v>
      </c>
    </row>
    <row r="140" spans="1:8" x14ac:dyDescent="0.2">
      <c r="A140" t="s">
        <v>163</v>
      </c>
      <c r="B140" t="s">
        <v>14</v>
      </c>
      <c r="C140">
        <v>2026</v>
      </c>
      <c r="D140" t="s">
        <v>7</v>
      </c>
      <c r="E140" s="1">
        <v>46112</v>
      </c>
      <c r="F140">
        <v>66.88</v>
      </c>
      <c r="G140">
        <v>61</v>
      </c>
      <c r="H140" t="b">
        <v>1</v>
      </c>
    </row>
    <row r="141" spans="1:8" x14ac:dyDescent="0.2">
      <c r="A141" t="s">
        <v>164</v>
      </c>
      <c r="B141" t="s">
        <v>14</v>
      </c>
      <c r="C141">
        <v>2026</v>
      </c>
      <c r="D141" t="s">
        <v>9</v>
      </c>
      <c r="E141" s="1">
        <v>46203</v>
      </c>
      <c r="F141">
        <v>75.22</v>
      </c>
      <c r="G141">
        <v>62</v>
      </c>
      <c r="H141" t="b">
        <v>1</v>
      </c>
    </row>
    <row r="142" spans="1:8" x14ac:dyDescent="0.2">
      <c r="A142" t="s">
        <v>165</v>
      </c>
      <c r="B142" t="s">
        <v>14</v>
      </c>
      <c r="C142">
        <v>2026</v>
      </c>
      <c r="D142" t="s">
        <v>10</v>
      </c>
      <c r="E142" s="1">
        <v>46295</v>
      </c>
      <c r="F142">
        <v>86.13</v>
      </c>
      <c r="G142">
        <v>47</v>
      </c>
      <c r="H142" t="b">
        <v>0</v>
      </c>
    </row>
    <row r="143" spans="1:8" x14ac:dyDescent="0.2">
      <c r="A143" t="s">
        <v>166</v>
      </c>
      <c r="B143" t="s">
        <v>15</v>
      </c>
      <c r="C143">
        <v>2015</v>
      </c>
      <c r="D143" t="s">
        <v>7</v>
      </c>
      <c r="E143" s="1">
        <v>42094</v>
      </c>
      <c r="F143">
        <v>17.02</v>
      </c>
      <c r="G143">
        <v>61</v>
      </c>
      <c r="H143" t="b">
        <v>1</v>
      </c>
    </row>
    <row r="144" spans="1:8" x14ac:dyDescent="0.2">
      <c r="A144" t="s">
        <v>167</v>
      </c>
      <c r="B144" t="s">
        <v>15</v>
      </c>
      <c r="C144">
        <v>2015</v>
      </c>
      <c r="D144" t="s">
        <v>9</v>
      </c>
      <c r="E144" s="1">
        <v>42185</v>
      </c>
      <c r="F144">
        <v>20.25</v>
      </c>
      <c r="G144">
        <v>63</v>
      </c>
      <c r="H144" t="b">
        <v>1</v>
      </c>
    </row>
    <row r="145" spans="1:8" x14ac:dyDescent="0.2">
      <c r="A145" t="s">
        <v>168</v>
      </c>
      <c r="B145" t="s">
        <v>15</v>
      </c>
      <c r="C145">
        <v>2015</v>
      </c>
      <c r="D145" t="s">
        <v>10</v>
      </c>
      <c r="E145" s="1">
        <v>42277</v>
      </c>
      <c r="F145">
        <v>23.57</v>
      </c>
      <c r="G145">
        <v>64</v>
      </c>
      <c r="H145" t="b">
        <v>1</v>
      </c>
    </row>
    <row r="146" spans="1:8" x14ac:dyDescent="0.2">
      <c r="A146" t="s">
        <v>169</v>
      </c>
      <c r="B146" t="s">
        <v>15</v>
      </c>
      <c r="C146">
        <v>2015</v>
      </c>
      <c r="D146" t="s">
        <v>11</v>
      </c>
      <c r="E146" s="1">
        <v>42369</v>
      </c>
      <c r="F146">
        <v>24.91</v>
      </c>
      <c r="G146">
        <v>64</v>
      </c>
      <c r="H146" t="b">
        <v>1</v>
      </c>
    </row>
    <row r="147" spans="1:8" x14ac:dyDescent="0.2">
      <c r="A147" t="s">
        <v>170</v>
      </c>
      <c r="B147" t="s">
        <v>15</v>
      </c>
      <c r="C147">
        <v>2016</v>
      </c>
      <c r="D147" t="s">
        <v>7</v>
      </c>
      <c r="E147" s="1">
        <v>42460</v>
      </c>
      <c r="F147">
        <v>21.03</v>
      </c>
      <c r="G147">
        <v>61</v>
      </c>
      <c r="H147" t="b">
        <v>1</v>
      </c>
    </row>
    <row r="148" spans="1:8" x14ac:dyDescent="0.2">
      <c r="A148" t="s">
        <v>171</v>
      </c>
      <c r="B148" t="s">
        <v>15</v>
      </c>
      <c r="C148">
        <v>2016</v>
      </c>
      <c r="D148" t="s">
        <v>9</v>
      </c>
      <c r="E148" s="1">
        <v>42551</v>
      </c>
      <c r="F148">
        <v>18.579999999999998</v>
      </c>
      <c r="G148">
        <v>64</v>
      </c>
      <c r="H148" t="b">
        <v>1</v>
      </c>
    </row>
    <row r="149" spans="1:8" x14ac:dyDescent="0.2">
      <c r="A149" t="s">
        <v>172</v>
      </c>
      <c r="B149" t="s">
        <v>15</v>
      </c>
      <c r="C149">
        <v>2016</v>
      </c>
      <c r="D149" t="s">
        <v>10</v>
      </c>
      <c r="E149" s="1">
        <v>42643</v>
      </c>
      <c r="F149">
        <v>17.09</v>
      </c>
      <c r="G149">
        <v>64</v>
      </c>
      <c r="H149" t="b">
        <v>1</v>
      </c>
    </row>
    <row r="150" spans="1:8" x14ac:dyDescent="0.2">
      <c r="A150" t="s">
        <v>173</v>
      </c>
      <c r="B150" t="s">
        <v>15</v>
      </c>
      <c r="C150">
        <v>2016</v>
      </c>
      <c r="D150" t="s">
        <v>11</v>
      </c>
      <c r="E150" s="1">
        <v>42735</v>
      </c>
      <c r="F150">
        <v>19.75</v>
      </c>
      <c r="G150">
        <v>63</v>
      </c>
      <c r="H150" t="b">
        <v>1</v>
      </c>
    </row>
    <row r="151" spans="1:8" x14ac:dyDescent="0.2">
      <c r="A151" t="s">
        <v>174</v>
      </c>
      <c r="B151" t="s">
        <v>15</v>
      </c>
      <c r="C151">
        <v>2017</v>
      </c>
      <c r="D151" t="s">
        <v>7</v>
      </c>
      <c r="E151" s="1">
        <v>42825</v>
      </c>
      <c r="F151">
        <v>20.39</v>
      </c>
      <c r="G151">
        <v>62</v>
      </c>
      <c r="H151" t="b">
        <v>1</v>
      </c>
    </row>
    <row r="152" spans="1:8" x14ac:dyDescent="0.2">
      <c r="A152" t="s">
        <v>175</v>
      </c>
      <c r="B152" t="s">
        <v>15</v>
      </c>
      <c r="C152">
        <v>2017</v>
      </c>
      <c r="D152" t="s">
        <v>9</v>
      </c>
      <c r="E152" s="1">
        <v>42916</v>
      </c>
      <c r="F152">
        <v>21.98</v>
      </c>
      <c r="G152">
        <v>63</v>
      </c>
      <c r="H152" t="b">
        <v>1</v>
      </c>
    </row>
    <row r="153" spans="1:8" x14ac:dyDescent="0.2">
      <c r="A153" t="s">
        <v>176</v>
      </c>
      <c r="B153" t="s">
        <v>15</v>
      </c>
      <c r="C153">
        <v>2017</v>
      </c>
      <c r="D153" t="s">
        <v>10</v>
      </c>
      <c r="E153" s="1">
        <v>43008</v>
      </c>
      <c r="F153">
        <v>20.96</v>
      </c>
      <c r="G153">
        <v>63</v>
      </c>
      <c r="H153" t="b">
        <v>1</v>
      </c>
    </row>
    <row r="154" spans="1:8" x14ac:dyDescent="0.2">
      <c r="A154" t="s">
        <v>177</v>
      </c>
      <c r="B154" t="s">
        <v>15</v>
      </c>
      <c r="C154">
        <v>2017</v>
      </c>
      <c r="D154" t="s">
        <v>11</v>
      </c>
      <c r="E154" s="1">
        <v>43100</v>
      </c>
      <c r="F154">
        <v>20.43</v>
      </c>
      <c r="G154">
        <v>63</v>
      </c>
      <c r="H154" t="b">
        <v>1</v>
      </c>
    </row>
    <row r="155" spans="1:8" x14ac:dyDescent="0.2">
      <c r="A155" t="s">
        <v>178</v>
      </c>
      <c r="B155" t="s">
        <v>15</v>
      </c>
      <c r="C155">
        <v>2018</v>
      </c>
      <c r="D155" t="s">
        <v>7</v>
      </c>
      <c r="E155" s="1">
        <v>43190</v>
      </c>
      <c r="F155">
        <v>21.26</v>
      </c>
      <c r="G155">
        <v>61</v>
      </c>
      <c r="H155" t="b">
        <v>1</v>
      </c>
    </row>
    <row r="156" spans="1:8" x14ac:dyDescent="0.2">
      <c r="A156" t="s">
        <v>179</v>
      </c>
      <c r="B156" t="s">
        <v>15</v>
      </c>
      <c r="C156">
        <v>2018</v>
      </c>
      <c r="D156" t="s">
        <v>9</v>
      </c>
      <c r="E156" s="1">
        <v>43281</v>
      </c>
      <c r="F156">
        <v>19.25</v>
      </c>
      <c r="G156">
        <v>64</v>
      </c>
      <c r="H156" t="b">
        <v>1</v>
      </c>
    </row>
    <row r="157" spans="1:8" x14ac:dyDescent="0.2">
      <c r="A157" t="s">
        <v>180</v>
      </c>
      <c r="B157" t="s">
        <v>15</v>
      </c>
      <c r="C157">
        <v>2018</v>
      </c>
      <c r="D157" t="s">
        <v>10</v>
      </c>
      <c r="E157" s="1">
        <v>43373</v>
      </c>
      <c r="F157">
        <v>18.96</v>
      </c>
      <c r="G157">
        <v>63</v>
      </c>
      <c r="H157" t="b">
        <v>1</v>
      </c>
    </row>
    <row r="158" spans="1:8" x14ac:dyDescent="0.2">
      <c r="A158" t="s">
        <v>181</v>
      </c>
      <c r="B158" t="s">
        <v>15</v>
      </c>
      <c r="C158">
        <v>2018</v>
      </c>
      <c r="D158" t="s">
        <v>11</v>
      </c>
      <c r="E158" s="1">
        <v>43465</v>
      </c>
      <c r="F158">
        <v>17.43</v>
      </c>
      <c r="G158">
        <v>63</v>
      </c>
      <c r="H158" t="b">
        <v>1</v>
      </c>
    </row>
    <row r="159" spans="1:8" x14ac:dyDescent="0.2">
      <c r="A159" t="s">
        <v>182</v>
      </c>
      <c r="B159" t="s">
        <v>15</v>
      </c>
      <c r="C159">
        <v>2019</v>
      </c>
      <c r="D159" t="s">
        <v>7</v>
      </c>
      <c r="E159" s="1">
        <v>43555</v>
      </c>
      <c r="F159">
        <v>17.12</v>
      </c>
      <c r="G159">
        <v>61</v>
      </c>
      <c r="H159" t="b">
        <v>1</v>
      </c>
    </row>
    <row r="160" spans="1:8" x14ac:dyDescent="0.2">
      <c r="A160" t="s">
        <v>183</v>
      </c>
      <c r="B160" t="s">
        <v>15</v>
      </c>
      <c r="C160">
        <v>2019</v>
      </c>
      <c r="D160" t="s">
        <v>9</v>
      </c>
      <c r="E160" s="1">
        <v>43646</v>
      </c>
      <c r="F160">
        <v>17.88</v>
      </c>
      <c r="G160">
        <v>63</v>
      </c>
      <c r="H160" t="b">
        <v>1</v>
      </c>
    </row>
    <row r="161" spans="1:8" x14ac:dyDescent="0.2">
      <c r="A161" t="s">
        <v>184</v>
      </c>
      <c r="B161" t="s">
        <v>15</v>
      </c>
      <c r="C161">
        <v>2019</v>
      </c>
      <c r="D161" t="s">
        <v>10</v>
      </c>
      <c r="E161" s="1">
        <v>43738</v>
      </c>
      <c r="F161">
        <v>18.14</v>
      </c>
      <c r="G161">
        <v>64</v>
      </c>
      <c r="H161" t="b">
        <v>1</v>
      </c>
    </row>
    <row r="162" spans="1:8" x14ac:dyDescent="0.2">
      <c r="A162" t="s">
        <v>185</v>
      </c>
      <c r="B162" t="s">
        <v>15</v>
      </c>
      <c r="C162">
        <v>2019</v>
      </c>
      <c r="D162" t="s">
        <v>11</v>
      </c>
      <c r="E162" s="1">
        <v>43830</v>
      </c>
      <c r="F162">
        <v>18.579999999999998</v>
      </c>
      <c r="G162">
        <v>64</v>
      </c>
      <c r="H162" t="b">
        <v>1</v>
      </c>
    </row>
    <row r="163" spans="1:8" x14ac:dyDescent="0.2">
      <c r="A163" t="s">
        <v>186</v>
      </c>
      <c r="B163" t="s">
        <v>15</v>
      </c>
      <c r="C163">
        <v>2020</v>
      </c>
      <c r="D163" t="s">
        <v>7</v>
      </c>
      <c r="E163" s="1">
        <v>43921</v>
      </c>
      <c r="F163">
        <v>16.579999999999998</v>
      </c>
      <c r="G163">
        <v>62</v>
      </c>
      <c r="H163" t="b">
        <v>1</v>
      </c>
    </row>
    <row r="164" spans="1:8" x14ac:dyDescent="0.2">
      <c r="A164" t="s">
        <v>187</v>
      </c>
      <c r="B164" t="s">
        <v>15</v>
      </c>
      <c r="C164">
        <v>2020</v>
      </c>
      <c r="D164" t="s">
        <v>9</v>
      </c>
      <c r="E164" s="1">
        <v>44012</v>
      </c>
      <c r="F164">
        <v>9.85</v>
      </c>
      <c r="G164">
        <v>63</v>
      </c>
      <c r="H164" t="b">
        <v>1</v>
      </c>
    </row>
    <row r="165" spans="1:8" x14ac:dyDescent="0.2">
      <c r="A165" t="s">
        <v>188</v>
      </c>
      <c r="B165" t="s">
        <v>15</v>
      </c>
      <c r="C165">
        <v>2020</v>
      </c>
      <c r="D165" t="s">
        <v>10</v>
      </c>
      <c r="E165" s="1">
        <v>44104</v>
      </c>
      <c r="F165">
        <v>11.22</v>
      </c>
      <c r="G165">
        <v>64</v>
      </c>
      <c r="H165" t="b">
        <v>1</v>
      </c>
    </row>
    <row r="166" spans="1:8" x14ac:dyDescent="0.2">
      <c r="A166" t="s">
        <v>189</v>
      </c>
      <c r="B166" t="s">
        <v>15</v>
      </c>
      <c r="C166">
        <v>2020</v>
      </c>
      <c r="D166" t="s">
        <v>11</v>
      </c>
      <c r="E166" s="1">
        <v>44196</v>
      </c>
      <c r="F166">
        <v>13.72</v>
      </c>
      <c r="G166">
        <v>64</v>
      </c>
      <c r="H166" t="b">
        <v>1</v>
      </c>
    </row>
    <row r="167" spans="1:8" x14ac:dyDescent="0.2">
      <c r="A167" t="s">
        <v>190</v>
      </c>
      <c r="B167" t="s">
        <v>15</v>
      </c>
      <c r="C167">
        <v>2021</v>
      </c>
      <c r="D167" t="s">
        <v>7</v>
      </c>
      <c r="E167" s="1">
        <v>44286</v>
      </c>
      <c r="F167">
        <v>17.329999999999998</v>
      </c>
      <c r="G167">
        <v>61</v>
      </c>
      <c r="H167" t="b">
        <v>1</v>
      </c>
    </row>
    <row r="168" spans="1:8" x14ac:dyDescent="0.2">
      <c r="A168" t="s">
        <v>191</v>
      </c>
      <c r="B168" t="s">
        <v>15</v>
      </c>
      <c r="C168">
        <v>2021</v>
      </c>
      <c r="D168" t="s">
        <v>9</v>
      </c>
      <c r="E168" s="1">
        <v>44377</v>
      </c>
      <c r="F168">
        <v>19.37</v>
      </c>
      <c r="G168">
        <v>63</v>
      </c>
      <c r="H168" t="b">
        <v>1</v>
      </c>
    </row>
    <row r="169" spans="1:8" x14ac:dyDescent="0.2">
      <c r="A169" t="s">
        <v>192</v>
      </c>
      <c r="B169" t="s">
        <v>15</v>
      </c>
      <c r="C169">
        <v>2021</v>
      </c>
      <c r="D169" t="s">
        <v>10</v>
      </c>
      <c r="E169" s="1">
        <v>44469</v>
      </c>
      <c r="F169">
        <v>15.34</v>
      </c>
      <c r="G169">
        <v>64</v>
      </c>
      <c r="H169" t="b">
        <v>1</v>
      </c>
    </row>
    <row r="170" spans="1:8" x14ac:dyDescent="0.2">
      <c r="A170" t="s">
        <v>193</v>
      </c>
      <c r="B170" t="s">
        <v>15</v>
      </c>
      <c r="C170">
        <v>2021</v>
      </c>
      <c r="D170" t="s">
        <v>11</v>
      </c>
      <c r="E170" s="1">
        <v>44561</v>
      </c>
      <c r="F170">
        <v>14.7</v>
      </c>
      <c r="G170">
        <v>64</v>
      </c>
      <c r="H170" t="b">
        <v>1</v>
      </c>
    </row>
    <row r="171" spans="1:8" x14ac:dyDescent="0.2">
      <c r="A171" t="s">
        <v>194</v>
      </c>
      <c r="B171" t="s">
        <v>15</v>
      </c>
      <c r="C171">
        <v>2022</v>
      </c>
      <c r="D171" t="s">
        <v>7</v>
      </c>
      <c r="E171" s="1">
        <v>44651</v>
      </c>
      <c r="F171">
        <v>14.48</v>
      </c>
      <c r="G171">
        <v>62</v>
      </c>
      <c r="H171" t="b">
        <v>1</v>
      </c>
    </row>
    <row r="172" spans="1:8" x14ac:dyDescent="0.2">
      <c r="A172" t="s">
        <v>195</v>
      </c>
      <c r="B172" t="s">
        <v>15</v>
      </c>
      <c r="C172">
        <v>2022</v>
      </c>
      <c r="D172" t="s">
        <v>9</v>
      </c>
      <c r="E172" s="1">
        <v>44742</v>
      </c>
      <c r="F172">
        <v>10.69</v>
      </c>
      <c r="G172">
        <v>62</v>
      </c>
      <c r="H172" t="b">
        <v>1</v>
      </c>
    </row>
    <row r="173" spans="1:8" x14ac:dyDescent="0.2">
      <c r="A173" t="s">
        <v>196</v>
      </c>
      <c r="B173" t="s">
        <v>15</v>
      </c>
      <c r="C173">
        <v>2022</v>
      </c>
      <c r="D173" t="s">
        <v>10</v>
      </c>
      <c r="E173" s="1">
        <v>44834</v>
      </c>
      <c r="F173">
        <v>8.14</v>
      </c>
      <c r="G173">
        <v>64</v>
      </c>
      <c r="H173" t="b">
        <v>1</v>
      </c>
    </row>
    <row r="174" spans="1:8" x14ac:dyDescent="0.2">
      <c r="A174" t="s">
        <v>197</v>
      </c>
      <c r="B174" t="s">
        <v>15</v>
      </c>
      <c r="C174">
        <v>2022</v>
      </c>
      <c r="D174" t="s">
        <v>11</v>
      </c>
      <c r="E174" s="1">
        <v>44926</v>
      </c>
      <c r="F174">
        <v>7.31</v>
      </c>
      <c r="G174">
        <v>63</v>
      </c>
      <c r="H174" t="b">
        <v>1</v>
      </c>
    </row>
    <row r="175" spans="1:8" x14ac:dyDescent="0.2">
      <c r="A175" t="s">
        <v>198</v>
      </c>
      <c r="B175" t="s">
        <v>15</v>
      </c>
      <c r="C175">
        <v>2023</v>
      </c>
      <c r="D175" t="s">
        <v>7</v>
      </c>
      <c r="E175" s="1">
        <v>45016</v>
      </c>
      <c r="F175">
        <v>7.9</v>
      </c>
      <c r="G175">
        <v>62</v>
      </c>
      <c r="H175" t="b">
        <v>1</v>
      </c>
    </row>
    <row r="176" spans="1:8" x14ac:dyDescent="0.2">
      <c r="A176" t="s">
        <v>199</v>
      </c>
      <c r="B176" t="s">
        <v>15</v>
      </c>
      <c r="C176">
        <v>2023</v>
      </c>
      <c r="D176" t="s">
        <v>9</v>
      </c>
      <c r="E176" s="1">
        <v>45107</v>
      </c>
      <c r="F176">
        <v>7.27</v>
      </c>
      <c r="G176">
        <v>62</v>
      </c>
      <c r="H176" t="b">
        <v>1</v>
      </c>
    </row>
    <row r="177" spans="1:8" x14ac:dyDescent="0.2">
      <c r="A177" t="s">
        <v>200</v>
      </c>
      <c r="B177" t="s">
        <v>15</v>
      </c>
      <c r="C177">
        <v>2023</v>
      </c>
      <c r="D177" t="s">
        <v>10</v>
      </c>
      <c r="E177" s="1">
        <v>45199</v>
      </c>
      <c r="F177">
        <v>6.58</v>
      </c>
      <c r="G177">
        <v>63</v>
      </c>
      <c r="H177" t="b">
        <v>1</v>
      </c>
    </row>
    <row r="178" spans="1:8" x14ac:dyDescent="0.2">
      <c r="A178" t="s">
        <v>201</v>
      </c>
      <c r="B178" t="s">
        <v>15</v>
      </c>
      <c r="C178">
        <v>2023</v>
      </c>
      <c r="D178" t="s">
        <v>11</v>
      </c>
      <c r="E178" s="1">
        <v>45291</v>
      </c>
      <c r="F178">
        <v>4.6900000000000004</v>
      </c>
      <c r="G178">
        <v>63</v>
      </c>
      <c r="H178" t="b">
        <v>1</v>
      </c>
    </row>
    <row r="179" spans="1:8" x14ac:dyDescent="0.2">
      <c r="A179" t="s">
        <v>202</v>
      </c>
      <c r="B179" t="s">
        <v>15</v>
      </c>
      <c r="C179">
        <v>2024</v>
      </c>
      <c r="D179" t="s">
        <v>7</v>
      </c>
      <c r="E179" s="1">
        <v>45382</v>
      </c>
      <c r="F179">
        <v>6.21</v>
      </c>
      <c r="G179">
        <v>61</v>
      </c>
      <c r="H179" t="b">
        <v>1</v>
      </c>
    </row>
    <row r="180" spans="1:8" x14ac:dyDescent="0.2">
      <c r="A180" t="s">
        <v>203</v>
      </c>
      <c r="B180" t="s">
        <v>15</v>
      </c>
      <c r="C180">
        <v>2024</v>
      </c>
      <c r="D180" t="s">
        <v>9</v>
      </c>
      <c r="E180" s="1">
        <v>45473</v>
      </c>
      <c r="F180">
        <v>6.03</v>
      </c>
      <c r="G180">
        <v>63</v>
      </c>
      <c r="H180" t="b">
        <v>1</v>
      </c>
    </row>
    <row r="181" spans="1:8" x14ac:dyDescent="0.2">
      <c r="A181" t="s">
        <v>204</v>
      </c>
      <c r="B181" t="s">
        <v>15</v>
      </c>
      <c r="C181">
        <v>2024</v>
      </c>
      <c r="D181" t="s">
        <v>10</v>
      </c>
      <c r="E181" s="1">
        <v>45565</v>
      </c>
      <c r="F181">
        <v>5.63</v>
      </c>
      <c r="G181">
        <v>64</v>
      </c>
      <c r="H181" t="b">
        <v>1</v>
      </c>
    </row>
    <row r="182" spans="1:8" x14ac:dyDescent="0.2">
      <c r="A182" t="s">
        <v>205</v>
      </c>
      <c r="B182" t="s">
        <v>15</v>
      </c>
      <c r="C182">
        <v>2024</v>
      </c>
      <c r="D182" t="s">
        <v>11</v>
      </c>
      <c r="E182" s="1">
        <v>45657</v>
      </c>
      <c r="F182">
        <v>6.78</v>
      </c>
      <c r="G182">
        <v>64</v>
      </c>
      <c r="H182" t="b">
        <v>1</v>
      </c>
    </row>
    <row r="183" spans="1:8" x14ac:dyDescent="0.2">
      <c r="A183" t="s">
        <v>206</v>
      </c>
      <c r="B183" t="s">
        <v>15</v>
      </c>
      <c r="C183">
        <v>2025</v>
      </c>
      <c r="D183" t="s">
        <v>7</v>
      </c>
      <c r="E183" s="1">
        <v>45747</v>
      </c>
      <c r="F183">
        <v>6.57</v>
      </c>
      <c r="G183">
        <v>60</v>
      </c>
      <c r="H183" t="b">
        <v>1</v>
      </c>
    </row>
    <row r="184" spans="1:8" x14ac:dyDescent="0.2">
      <c r="A184" t="s">
        <v>207</v>
      </c>
      <c r="B184" t="s">
        <v>15</v>
      </c>
      <c r="C184">
        <v>2025</v>
      </c>
      <c r="D184" t="s">
        <v>9</v>
      </c>
      <c r="E184" s="1">
        <v>45838</v>
      </c>
      <c r="F184">
        <v>4.4800000000000004</v>
      </c>
      <c r="G184">
        <v>62</v>
      </c>
      <c r="H184" t="b">
        <v>1</v>
      </c>
    </row>
    <row r="185" spans="1:8" x14ac:dyDescent="0.2">
      <c r="A185" t="s">
        <v>208</v>
      </c>
      <c r="B185" t="s">
        <v>15</v>
      </c>
      <c r="C185">
        <v>2025</v>
      </c>
      <c r="D185" t="s">
        <v>10</v>
      </c>
      <c r="E185" s="1">
        <v>45930</v>
      </c>
      <c r="F185">
        <v>4.8</v>
      </c>
      <c r="G185">
        <v>64</v>
      </c>
      <c r="H185" t="b">
        <v>1</v>
      </c>
    </row>
    <row r="186" spans="1:8" x14ac:dyDescent="0.2">
      <c r="A186" t="s">
        <v>209</v>
      </c>
      <c r="B186" t="s">
        <v>15</v>
      </c>
      <c r="C186">
        <v>2025</v>
      </c>
      <c r="D186" t="s">
        <v>11</v>
      </c>
      <c r="E186" s="1">
        <v>46022</v>
      </c>
      <c r="F186">
        <v>4.5599999999999996</v>
      </c>
      <c r="G186">
        <v>64</v>
      </c>
      <c r="H186" t="b">
        <v>1</v>
      </c>
    </row>
    <row r="187" spans="1:8" x14ac:dyDescent="0.2">
      <c r="A187" t="s">
        <v>210</v>
      </c>
      <c r="B187" t="s">
        <v>15</v>
      </c>
      <c r="C187">
        <v>2026</v>
      </c>
      <c r="D187" t="s">
        <v>7</v>
      </c>
      <c r="E187" s="1">
        <v>46112</v>
      </c>
      <c r="F187">
        <v>5.07</v>
      </c>
      <c r="G187">
        <v>61</v>
      </c>
      <c r="H187" t="b">
        <v>1</v>
      </c>
    </row>
    <row r="188" spans="1:8" x14ac:dyDescent="0.2">
      <c r="A188" t="s">
        <v>211</v>
      </c>
      <c r="B188" t="s">
        <v>15</v>
      </c>
      <c r="C188">
        <v>2026</v>
      </c>
      <c r="D188" t="s">
        <v>9</v>
      </c>
      <c r="E188" s="1">
        <v>46203</v>
      </c>
      <c r="F188">
        <v>5.09</v>
      </c>
      <c r="G188">
        <v>62</v>
      </c>
      <c r="H188" t="b">
        <v>1</v>
      </c>
    </row>
    <row r="189" spans="1:8" x14ac:dyDescent="0.2">
      <c r="A189" t="s">
        <v>212</v>
      </c>
      <c r="B189" t="s">
        <v>15</v>
      </c>
      <c r="C189">
        <v>2026</v>
      </c>
      <c r="D189" t="s">
        <v>10</v>
      </c>
      <c r="E189" s="1">
        <v>46295</v>
      </c>
      <c r="F189">
        <v>5.46</v>
      </c>
      <c r="G189">
        <v>47</v>
      </c>
      <c r="H189" t="b">
        <v>0</v>
      </c>
    </row>
    <row r="190" spans="1:8" x14ac:dyDescent="0.2">
      <c r="A190" t="s">
        <v>213</v>
      </c>
      <c r="B190" t="s">
        <v>16</v>
      </c>
      <c r="C190">
        <v>2015</v>
      </c>
      <c r="D190" t="s">
        <v>7</v>
      </c>
      <c r="E190" s="1">
        <v>42094</v>
      </c>
      <c r="F190">
        <v>38.090000000000003</v>
      </c>
      <c r="G190">
        <v>61</v>
      </c>
      <c r="H190" t="b">
        <v>1</v>
      </c>
    </row>
    <row r="191" spans="1:8" x14ac:dyDescent="0.2">
      <c r="A191" t="s">
        <v>214</v>
      </c>
      <c r="B191" t="s">
        <v>16</v>
      </c>
      <c r="C191">
        <v>2015</v>
      </c>
      <c r="D191" t="s">
        <v>9</v>
      </c>
      <c r="E191" s="1">
        <v>42185</v>
      </c>
      <c r="F191">
        <v>34.15</v>
      </c>
      <c r="G191">
        <v>63</v>
      </c>
      <c r="H191" t="b">
        <v>1</v>
      </c>
    </row>
    <row r="192" spans="1:8" x14ac:dyDescent="0.2">
      <c r="A192" t="s">
        <v>215</v>
      </c>
      <c r="B192" t="s">
        <v>16</v>
      </c>
      <c r="C192">
        <v>2015</v>
      </c>
      <c r="D192" t="s">
        <v>10</v>
      </c>
      <c r="E192" s="1">
        <v>42277</v>
      </c>
      <c r="F192">
        <v>32.299999999999997</v>
      </c>
      <c r="G192">
        <v>64</v>
      </c>
      <c r="H192" t="b">
        <v>1</v>
      </c>
    </row>
    <row r="193" spans="1:8" x14ac:dyDescent="0.2">
      <c r="A193" t="s">
        <v>216</v>
      </c>
      <c r="B193" t="s">
        <v>16</v>
      </c>
      <c r="C193">
        <v>2015</v>
      </c>
      <c r="D193" t="s">
        <v>11</v>
      </c>
      <c r="E193" s="1">
        <v>42369</v>
      </c>
      <c r="F193">
        <v>38.81</v>
      </c>
      <c r="G193">
        <v>64</v>
      </c>
      <c r="H193" t="b">
        <v>1</v>
      </c>
    </row>
    <row r="194" spans="1:8" x14ac:dyDescent="0.2">
      <c r="A194" t="s">
        <v>217</v>
      </c>
      <c r="B194" t="s">
        <v>16</v>
      </c>
      <c r="C194">
        <v>2016</v>
      </c>
      <c r="D194" t="s">
        <v>7</v>
      </c>
      <c r="E194" s="1">
        <v>42460</v>
      </c>
      <c r="F194">
        <v>35.729999999999997</v>
      </c>
      <c r="G194">
        <v>61</v>
      </c>
      <c r="H194" t="b">
        <v>1</v>
      </c>
    </row>
    <row r="195" spans="1:8" x14ac:dyDescent="0.2">
      <c r="A195" t="s">
        <v>218</v>
      </c>
      <c r="B195" t="s">
        <v>16</v>
      </c>
      <c r="C195">
        <v>2016</v>
      </c>
      <c r="D195" t="s">
        <v>9</v>
      </c>
      <c r="E195" s="1">
        <v>42551</v>
      </c>
      <c r="F195">
        <v>37.64</v>
      </c>
      <c r="G195">
        <v>64</v>
      </c>
      <c r="H195" t="b">
        <v>1</v>
      </c>
    </row>
    <row r="196" spans="1:8" x14ac:dyDescent="0.2">
      <c r="A196" t="s">
        <v>219</v>
      </c>
      <c r="B196" t="s">
        <v>16</v>
      </c>
      <c r="C196">
        <v>2016</v>
      </c>
      <c r="D196" t="s">
        <v>10</v>
      </c>
      <c r="E196" s="1">
        <v>42643</v>
      </c>
      <c r="F196">
        <v>33.53</v>
      </c>
      <c r="G196">
        <v>64</v>
      </c>
      <c r="H196" t="b">
        <v>1</v>
      </c>
    </row>
    <row r="197" spans="1:8" x14ac:dyDescent="0.2">
      <c r="A197" t="s">
        <v>220</v>
      </c>
      <c r="B197" t="s">
        <v>16</v>
      </c>
      <c r="C197">
        <v>2016</v>
      </c>
      <c r="D197" t="s">
        <v>11</v>
      </c>
      <c r="E197" s="1">
        <v>42735</v>
      </c>
      <c r="F197">
        <v>39.630000000000003</v>
      </c>
      <c r="G197">
        <v>63</v>
      </c>
      <c r="H197" t="b">
        <v>1</v>
      </c>
    </row>
    <row r="198" spans="1:8" x14ac:dyDescent="0.2">
      <c r="A198" t="s">
        <v>221</v>
      </c>
      <c r="B198" t="s">
        <v>16</v>
      </c>
      <c r="C198">
        <v>2017</v>
      </c>
      <c r="D198" t="s">
        <v>7</v>
      </c>
      <c r="E198" s="1">
        <v>42825</v>
      </c>
      <c r="F198">
        <v>47.63</v>
      </c>
      <c r="G198">
        <v>62</v>
      </c>
      <c r="H198" t="b">
        <v>1</v>
      </c>
    </row>
    <row r="199" spans="1:8" x14ac:dyDescent="0.2">
      <c r="A199" t="s">
        <v>222</v>
      </c>
      <c r="B199" t="s">
        <v>16</v>
      </c>
      <c r="C199">
        <v>2017</v>
      </c>
      <c r="D199" t="s">
        <v>9</v>
      </c>
      <c r="E199" s="1">
        <v>42916</v>
      </c>
      <c r="F199">
        <v>51.63</v>
      </c>
      <c r="G199">
        <v>63</v>
      </c>
      <c r="H199" t="b">
        <v>1</v>
      </c>
    </row>
    <row r="200" spans="1:8" x14ac:dyDescent="0.2">
      <c r="A200" t="s">
        <v>223</v>
      </c>
      <c r="B200" t="s">
        <v>16</v>
      </c>
      <c r="C200">
        <v>2017</v>
      </c>
      <c r="D200" t="s">
        <v>10</v>
      </c>
      <c r="E200" s="1">
        <v>43008</v>
      </c>
      <c r="F200">
        <v>49.92</v>
      </c>
      <c r="G200">
        <v>63</v>
      </c>
      <c r="H200" t="b">
        <v>1</v>
      </c>
    </row>
    <row r="201" spans="1:8" x14ac:dyDescent="0.2">
      <c r="A201" t="s">
        <v>224</v>
      </c>
      <c r="B201" t="s">
        <v>16</v>
      </c>
      <c r="C201">
        <v>2017</v>
      </c>
      <c r="D201" t="s">
        <v>11</v>
      </c>
      <c r="E201" s="1">
        <v>43100</v>
      </c>
      <c r="F201">
        <v>52.41</v>
      </c>
      <c r="G201">
        <v>63</v>
      </c>
      <c r="H201" t="b">
        <v>1</v>
      </c>
    </row>
    <row r="202" spans="1:8" x14ac:dyDescent="0.2">
      <c r="A202" t="s">
        <v>225</v>
      </c>
      <c r="B202" t="s">
        <v>16</v>
      </c>
      <c r="C202">
        <v>2018</v>
      </c>
      <c r="D202" t="s">
        <v>7</v>
      </c>
      <c r="E202" s="1">
        <v>43190</v>
      </c>
      <c r="F202">
        <v>53.63</v>
      </c>
      <c r="G202">
        <v>61</v>
      </c>
      <c r="H202" t="b">
        <v>1</v>
      </c>
    </row>
    <row r="203" spans="1:8" x14ac:dyDescent="0.2">
      <c r="A203" t="s">
        <v>226</v>
      </c>
      <c r="B203" t="s">
        <v>16</v>
      </c>
      <c r="C203">
        <v>2018</v>
      </c>
      <c r="D203" t="s">
        <v>9</v>
      </c>
      <c r="E203" s="1">
        <v>43281</v>
      </c>
      <c r="F203">
        <v>47.14</v>
      </c>
      <c r="G203">
        <v>64</v>
      </c>
      <c r="H203" t="b">
        <v>1</v>
      </c>
    </row>
    <row r="204" spans="1:8" x14ac:dyDescent="0.2">
      <c r="A204" t="s">
        <v>227</v>
      </c>
      <c r="B204" t="s">
        <v>16</v>
      </c>
      <c r="C204">
        <v>2018</v>
      </c>
      <c r="D204" t="s">
        <v>10</v>
      </c>
      <c r="E204" s="1">
        <v>43373</v>
      </c>
      <c r="F204">
        <v>52.54</v>
      </c>
      <c r="G204">
        <v>63</v>
      </c>
      <c r="H204" t="b">
        <v>1</v>
      </c>
    </row>
    <row r="205" spans="1:8" x14ac:dyDescent="0.2">
      <c r="A205" t="s">
        <v>228</v>
      </c>
      <c r="B205" t="s">
        <v>16</v>
      </c>
      <c r="C205">
        <v>2018</v>
      </c>
      <c r="D205" t="s">
        <v>11</v>
      </c>
      <c r="E205" s="1">
        <v>43465</v>
      </c>
      <c r="F205">
        <v>47.82</v>
      </c>
      <c r="G205">
        <v>63</v>
      </c>
      <c r="H205" t="b">
        <v>1</v>
      </c>
    </row>
    <row r="206" spans="1:8" x14ac:dyDescent="0.2">
      <c r="A206" t="s">
        <v>229</v>
      </c>
      <c r="B206" t="s">
        <v>16</v>
      </c>
      <c r="C206">
        <v>2019</v>
      </c>
      <c r="D206" t="s">
        <v>7</v>
      </c>
      <c r="E206" s="1">
        <v>43555</v>
      </c>
      <c r="F206">
        <v>47.64</v>
      </c>
      <c r="G206">
        <v>61</v>
      </c>
      <c r="H206" t="b">
        <v>1</v>
      </c>
    </row>
    <row r="207" spans="1:8" x14ac:dyDescent="0.2">
      <c r="A207" t="s">
        <v>230</v>
      </c>
      <c r="B207" t="s">
        <v>16</v>
      </c>
      <c r="C207">
        <v>2019</v>
      </c>
      <c r="D207" t="s">
        <v>9</v>
      </c>
      <c r="E207" s="1">
        <v>43646</v>
      </c>
      <c r="F207">
        <v>46.94</v>
      </c>
      <c r="G207">
        <v>63</v>
      </c>
      <c r="H207" t="b">
        <v>1</v>
      </c>
    </row>
    <row r="208" spans="1:8" x14ac:dyDescent="0.2">
      <c r="A208" t="s">
        <v>231</v>
      </c>
      <c r="B208" t="s">
        <v>16</v>
      </c>
      <c r="C208">
        <v>2019</v>
      </c>
      <c r="D208" t="s">
        <v>10</v>
      </c>
      <c r="E208" s="1">
        <v>43738</v>
      </c>
      <c r="F208">
        <v>47.59</v>
      </c>
      <c r="G208">
        <v>64</v>
      </c>
      <c r="H208" t="b">
        <v>1</v>
      </c>
    </row>
    <row r="209" spans="1:8" x14ac:dyDescent="0.2">
      <c r="A209" t="s">
        <v>232</v>
      </c>
      <c r="B209" t="s">
        <v>16</v>
      </c>
      <c r="C209">
        <v>2019</v>
      </c>
      <c r="D209" t="s">
        <v>11</v>
      </c>
      <c r="E209" s="1">
        <v>43830</v>
      </c>
      <c r="F209">
        <v>50.59</v>
      </c>
      <c r="G209">
        <v>64</v>
      </c>
      <c r="H209" t="b">
        <v>1</v>
      </c>
    </row>
    <row r="210" spans="1:8" x14ac:dyDescent="0.2">
      <c r="A210" t="s">
        <v>233</v>
      </c>
      <c r="B210" t="s">
        <v>16</v>
      </c>
      <c r="C210">
        <v>2020</v>
      </c>
      <c r="D210" t="s">
        <v>7</v>
      </c>
      <c r="E210" s="1">
        <v>43921</v>
      </c>
      <c r="F210">
        <v>45.38</v>
      </c>
      <c r="G210">
        <v>62</v>
      </c>
      <c r="H210" t="b">
        <v>1</v>
      </c>
    </row>
    <row r="211" spans="1:8" x14ac:dyDescent="0.2">
      <c r="A211" t="s">
        <v>234</v>
      </c>
      <c r="B211" t="s">
        <v>16</v>
      </c>
      <c r="C211">
        <v>2020</v>
      </c>
      <c r="D211" t="s">
        <v>9</v>
      </c>
      <c r="E211" s="1">
        <v>44012</v>
      </c>
      <c r="F211">
        <v>29.17</v>
      </c>
      <c r="G211">
        <v>63</v>
      </c>
      <c r="H211" t="b">
        <v>1</v>
      </c>
    </row>
    <row r="212" spans="1:8" x14ac:dyDescent="0.2">
      <c r="A212" t="s">
        <v>235</v>
      </c>
      <c r="B212" t="s">
        <v>16</v>
      </c>
      <c r="C212">
        <v>2020</v>
      </c>
      <c r="D212" t="s">
        <v>10</v>
      </c>
      <c r="E212" s="1">
        <v>44104</v>
      </c>
      <c r="F212">
        <v>32.619999999999997</v>
      </c>
      <c r="G212">
        <v>64</v>
      </c>
      <c r="H212" t="b">
        <v>1</v>
      </c>
    </row>
    <row r="213" spans="1:8" x14ac:dyDescent="0.2">
      <c r="A213" t="s">
        <v>236</v>
      </c>
      <c r="B213" t="s">
        <v>16</v>
      </c>
      <c r="C213">
        <v>2020</v>
      </c>
      <c r="D213" t="s">
        <v>11</v>
      </c>
      <c r="E213" s="1">
        <v>44196</v>
      </c>
      <c r="F213">
        <v>39.770000000000003</v>
      </c>
      <c r="G213">
        <v>64</v>
      </c>
      <c r="H213" t="b">
        <v>1</v>
      </c>
    </row>
    <row r="214" spans="1:8" x14ac:dyDescent="0.2">
      <c r="A214" t="s">
        <v>237</v>
      </c>
      <c r="B214" t="s">
        <v>16</v>
      </c>
      <c r="C214">
        <v>2021</v>
      </c>
      <c r="D214" t="s">
        <v>7</v>
      </c>
      <c r="E214" s="1">
        <v>44286</v>
      </c>
      <c r="F214">
        <v>48.85</v>
      </c>
      <c r="G214">
        <v>61</v>
      </c>
      <c r="H214" t="b">
        <v>1</v>
      </c>
    </row>
    <row r="215" spans="1:8" x14ac:dyDescent="0.2">
      <c r="A215" t="s">
        <v>238</v>
      </c>
      <c r="B215" t="s">
        <v>16</v>
      </c>
      <c r="C215">
        <v>2021</v>
      </c>
      <c r="D215" t="s">
        <v>9</v>
      </c>
      <c r="E215" s="1">
        <v>44377</v>
      </c>
      <c r="F215">
        <v>55.02</v>
      </c>
      <c r="G215">
        <v>63</v>
      </c>
      <c r="H215" t="b">
        <v>1</v>
      </c>
    </row>
    <row r="216" spans="1:8" x14ac:dyDescent="0.2">
      <c r="A216" t="s">
        <v>239</v>
      </c>
      <c r="B216" t="s">
        <v>16</v>
      </c>
      <c r="C216">
        <v>2021</v>
      </c>
      <c r="D216" t="s">
        <v>10</v>
      </c>
      <c r="E216" s="1">
        <v>44469</v>
      </c>
      <c r="F216">
        <v>46.37</v>
      </c>
      <c r="G216">
        <v>64</v>
      </c>
      <c r="H216" t="b">
        <v>1</v>
      </c>
    </row>
    <row r="217" spans="1:8" x14ac:dyDescent="0.2">
      <c r="A217" t="s">
        <v>240</v>
      </c>
      <c r="B217" t="s">
        <v>16</v>
      </c>
      <c r="C217">
        <v>2021</v>
      </c>
      <c r="D217" t="s">
        <v>11</v>
      </c>
      <c r="E217" s="1">
        <v>44561</v>
      </c>
      <c r="F217">
        <v>43.1</v>
      </c>
      <c r="G217">
        <v>64</v>
      </c>
      <c r="H217" t="b">
        <v>1</v>
      </c>
    </row>
    <row r="218" spans="1:8" x14ac:dyDescent="0.2">
      <c r="A218" t="s">
        <v>241</v>
      </c>
      <c r="B218" t="s">
        <v>16</v>
      </c>
      <c r="C218">
        <v>2022</v>
      </c>
      <c r="D218" t="s">
        <v>7</v>
      </c>
      <c r="E218" s="1">
        <v>44651</v>
      </c>
      <c r="F218">
        <v>40.36</v>
      </c>
      <c r="G218">
        <v>62</v>
      </c>
      <c r="H218" t="b">
        <v>1</v>
      </c>
    </row>
    <row r="219" spans="1:8" x14ac:dyDescent="0.2">
      <c r="A219" t="s">
        <v>242</v>
      </c>
      <c r="B219" t="s">
        <v>16</v>
      </c>
      <c r="C219">
        <v>2022</v>
      </c>
      <c r="D219" t="s">
        <v>9</v>
      </c>
      <c r="E219" s="1">
        <v>44742</v>
      </c>
      <c r="F219">
        <v>39.47</v>
      </c>
      <c r="G219">
        <v>62</v>
      </c>
      <c r="H219" t="b">
        <v>1</v>
      </c>
    </row>
    <row r="220" spans="1:8" x14ac:dyDescent="0.2">
      <c r="A220" t="s">
        <v>243</v>
      </c>
      <c r="B220" t="s">
        <v>16</v>
      </c>
      <c r="C220">
        <v>2022</v>
      </c>
      <c r="D220" t="s">
        <v>10</v>
      </c>
      <c r="E220" s="1">
        <v>44834</v>
      </c>
      <c r="F220">
        <v>34.39</v>
      </c>
      <c r="G220">
        <v>64</v>
      </c>
      <c r="H220" t="b">
        <v>1</v>
      </c>
    </row>
    <row r="221" spans="1:8" x14ac:dyDescent="0.2">
      <c r="A221" t="s">
        <v>244</v>
      </c>
      <c r="B221" t="s">
        <v>16</v>
      </c>
      <c r="C221">
        <v>2022</v>
      </c>
      <c r="D221" t="s">
        <v>11</v>
      </c>
      <c r="E221" s="1">
        <v>44926</v>
      </c>
      <c r="F221">
        <v>33.1</v>
      </c>
      <c r="G221">
        <v>63</v>
      </c>
      <c r="H221" t="b">
        <v>1</v>
      </c>
    </row>
    <row r="222" spans="1:8" x14ac:dyDescent="0.2">
      <c r="A222" t="s">
        <v>245</v>
      </c>
      <c r="B222" t="s">
        <v>16</v>
      </c>
      <c r="C222">
        <v>2023</v>
      </c>
      <c r="D222" t="s">
        <v>7</v>
      </c>
      <c r="E222" s="1">
        <v>45016</v>
      </c>
      <c r="F222">
        <v>31.42</v>
      </c>
      <c r="G222">
        <v>62</v>
      </c>
      <c r="H222" t="b">
        <v>1</v>
      </c>
    </row>
    <row r="223" spans="1:8" x14ac:dyDescent="0.2">
      <c r="A223" t="s">
        <v>246</v>
      </c>
      <c r="B223" t="s">
        <v>16</v>
      </c>
      <c r="C223">
        <v>2023</v>
      </c>
      <c r="D223" t="s">
        <v>9</v>
      </c>
      <c r="E223" s="1">
        <v>45107</v>
      </c>
      <c r="F223">
        <v>29.11</v>
      </c>
      <c r="G223">
        <v>62</v>
      </c>
      <c r="H223" t="b">
        <v>1</v>
      </c>
    </row>
    <row r="224" spans="1:8" x14ac:dyDescent="0.2">
      <c r="A224" t="s">
        <v>247</v>
      </c>
      <c r="B224" t="s">
        <v>16</v>
      </c>
      <c r="C224">
        <v>2023</v>
      </c>
      <c r="D224" t="s">
        <v>10</v>
      </c>
      <c r="E224" s="1">
        <v>45199</v>
      </c>
      <c r="F224">
        <v>30.48</v>
      </c>
      <c r="G224">
        <v>63</v>
      </c>
      <c r="H224" t="b">
        <v>1</v>
      </c>
    </row>
    <row r="225" spans="1:8" x14ac:dyDescent="0.2">
      <c r="A225" t="s">
        <v>248</v>
      </c>
      <c r="B225" t="s">
        <v>16</v>
      </c>
      <c r="C225">
        <v>2023</v>
      </c>
      <c r="D225" t="s">
        <v>11</v>
      </c>
      <c r="E225" s="1">
        <v>45291</v>
      </c>
      <c r="F225">
        <v>24.42</v>
      </c>
      <c r="G225">
        <v>63</v>
      </c>
      <c r="H225" t="b">
        <v>1</v>
      </c>
    </row>
    <row r="226" spans="1:8" x14ac:dyDescent="0.2">
      <c r="A226" t="s">
        <v>249</v>
      </c>
      <c r="B226" t="s">
        <v>16</v>
      </c>
      <c r="C226">
        <v>2024</v>
      </c>
      <c r="D226" t="s">
        <v>7</v>
      </c>
      <c r="E226" s="1">
        <v>45382</v>
      </c>
      <c r="F226">
        <v>29.26</v>
      </c>
      <c r="G226">
        <v>61</v>
      </c>
      <c r="H226" t="b">
        <v>1</v>
      </c>
    </row>
    <row r="227" spans="1:8" x14ac:dyDescent="0.2">
      <c r="A227" t="s">
        <v>250</v>
      </c>
      <c r="B227" t="s">
        <v>16</v>
      </c>
      <c r="C227">
        <v>2024</v>
      </c>
      <c r="D227" t="s">
        <v>9</v>
      </c>
      <c r="E227" s="1">
        <v>45473</v>
      </c>
      <c r="F227">
        <v>26.49</v>
      </c>
      <c r="G227">
        <v>63</v>
      </c>
      <c r="H227" t="b">
        <v>1</v>
      </c>
    </row>
    <row r="228" spans="1:8" x14ac:dyDescent="0.2">
      <c r="A228" t="s">
        <v>251</v>
      </c>
      <c r="B228" t="s">
        <v>16</v>
      </c>
      <c r="C228">
        <v>2024</v>
      </c>
      <c r="D228" t="s">
        <v>10</v>
      </c>
      <c r="E228" s="1">
        <v>45565</v>
      </c>
      <c r="F228">
        <v>26.48</v>
      </c>
      <c r="G228">
        <v>64</v>
      </c>
      <c r="H228" t="b">
        <v>1</v>
      </c>
    </row>
    <row r="229" spans="1:8" x14ac:dyDescent="0.2">
      <c r="A229" t="s">
        <v>252</v>
      </c>
      <c r="B229" t="s">
        <v>16</v>
      </c>
      <c r="C229">
        <v>2024</v>
      </c>
      <c r="D229" t="s">
        <v>11</v>
      </c>
      <c r="E229" s="1">
        <v>45657</v>
      </c>
      <c r="F229">
        <v>30.66</v>
      </c>
      <c r="G229">
        <v>64</v>
      </c>
      <c r="H229" t="b">
        <v>1</v>
      </c>
    </row>
    <row r="230" spans="1:8" x14ac:dyDescent="0.2">
      <c r="A230" t="s">
        <v>253</v>
      </c>
      <c r="B230" t="s">
        <v>16</v>
      </c>
      <c r="C230">
        <v>2025</v>
      </c>
      <c r="D230" t="s">
        <v>7</v>
      </c>
      <c r="E230" s="1">
        <v>45747</v>
      </c>
      <c r="F230">
        <v>30.62</v>
      </c>
      <c r="G230">
        <v>60</v>
      </c>
      <c r="H230" t="b">
        <v>1</v>
      </c>
    </row>
    <row r="231" spans="1:8" x14ac:dyDescent="0.2">
      <c r="A231" t="s">
        <v>254</v>
      </c>
      <c r="B231" t="s">
        <v>16</v>
      </c>
      <c r="C231">
        <v>2025</v>
      </c>
      <c r="D231" t="s">
        <v>9</v>
      </c>
      <c r="E231" s="1">
        <v>45838</v>
      </c>
      <c r="F231">
        <v>29.28</v>
      </c>
      <c r="G231">
        <v>62</v>
      </c>
      <c r="H231" t="b">
        <v>1</v>
      </c>
    </row>
    <row r="232" spans="1:8" x14ac:dyDescent="0.2">
      <c r="A232" t="s">
        <v>255</v>
      </c>
      <c r="B232" t="s">
        <v>16</v>
      </c>
      <c r="C232">
        <v>2025</v>
      </c>
      <c r="D232" t="s">
        <v>10</v>
      </c>
      <c r="E232" s="1">
        <v>45930</v>
      </c>
      <c r="F232">
        <v>32</v>
      </c>
      <c r="G232">
        <v>64</v>
      </c>
      <c r="H232" t="b">
        <v>1</v>
      </c>
    </row>
    <row r="233" spans="1:8" x14ac:dyDescent="0.2">
      <c r="A233" t="s">
        <v>256</v>
      </c>
      <c r="B233" t="s">
        <v>16</v>
      </c>
      <c r="C233">
        <v>2025</v>
      </c>
      <c r="D233" t="s">
        <v>11</v>
      </c>
      <c r="E233" s="1">
        <v>46022</v>
      </c>
      <c r="F233">
        <v>34.33</v>
      </c>
      <c r="G233">
        <v>64</v>
      </c>
      <c r="H233" t="b">
        <v>1</v>
      </c>
    </row>
    <row r="234" spans="1:8" x14ac:dyDescent="0.2">
      <c r="A234" t="s">
        <v>257</v>
      </c>
      <c r="B234" t="s">
        <v>16</v>
      </c>
      <c r="C234">
        <v>2026</v>
      </c>
      <c r="D234" t="s">
        <v>7</v>
      </c>
      <c r="E234" s="1">
        <v>46112</v>
      </c>
      <c r="F234">
        <v>44.6</v>
      </c>
      <c r="G234">
        <v>61</v>
      </c>
      <c r="H234" t="b">
        <v>1</v>
      </c>
    </row>
    <row r="235" spans="1:8" x14ac:dyDescent="0.2">
      <c r="A235" t="s">
        <v>258</v>
      </c>
      <c r="B235" t="s">
        <v>16</v>
      </c>
      <c r="C235">
        <v>2026</v>
      </c>
      <c r="D235" t="s">
        <v>9</v>
      </c>
      <c r="E235" s="1">
        <v>46203</v>
      </c>
      <c r="F235">
        <v>41.66</v>
      </c>
      <c r="G235">
        <v>62</v>
      </c>
      <c r="H235" t="b">
        <v>1</v>
      </c>
    </row>
    <row r="236" spans="1:8" x14ac:dyDescent="0.2">
      <c r="A236" t="s">
        <v>259</v>
      </c>
      <c r="B236" t="s">
        <v>16</v>
      </c>
      <c r="C236">
        <v>2026</v>
      </c>
      <c r="D236" t="s">
        <v>10</v>
      </c>
      <c r="E236" s="1">
        <v>46295</v>
      </c>
      <c r="F236">
        <v>44.82</v>
      </c>
      <c r="G236">
        <v>47</v>
      </c>
      <c r="H236" t="b">
        <v>0</v>
      </c>
    </row>
    <row r="237" spans="1:8" x14ac:dyDescent="0.2">
      <c r="A237" t="s">
        <v>320</v>
      </c>
      <c r="B237" t="s">
        <v>319</v>
      </c>
      <c r="C237">
        <v>2015</v>
      </c>
      <c r="D237" t="s">
        <v>7</v>
      </c>
      <c r="E237" s="1">
        <v>42094</v>
      </c>
      <c r="F237">
        <v>170.57</v>
      </c>
      <c r="G237">
        <v>61</v>
      </c>
      <c r="H237" t="b">
        <v>1</v>
      </c>
    </row>
    <row r="238" spans="1:8" x14ac:dyDescent="0.2">
      <c r="A238" t="s">
        <v>321</v>
      </c>
      <c r="B238" t="s">
        <v>319</v>
      </c>
      <c r="C238">
        <v>2015</v>
      </c>
      <c r="D238" t="s">
        <v>9</v>
      </c>
      <c r="E238" s="1">
        <v>42185</v>
      </c>
      <c r="F238">
        <v>174.56</v>
      </c>
      <c r="G238">
        <v>63</v>
      </c>
      <c r="H238" t="b">
        <v>1</v>
      </c>
    </row>
    <row r="239" spans="1:8" x14ac:dyDescent="0.2">
      <c r="A239" t="s">
        <v>322</v>
      </c>
      <c r="B239" t="s">
        <v>319</v>
      </c>
      <c r="C239">
        <v>2015</v>
      </c>
      <c r="D239" t="s">
        <v>10</v>
      </c>
      <c r="E239" s="1">
        <v>42277</v>
      </c>
      <c r="F239">
        <v>169.23</v>
      </c>
      <c r="G239">
        <v>64</v>
      </c>
      <c r="H239" t="b">
        <v>1</v>
      </c>
    </row>
    <row r="240" spans="1:8" x14ac:dyDescent="0.2">
      <c r="A240" t="s">
        <v>323</v>
      </c>
      <c r="B240" t="s">
        <v>319</v>
      </c>
      <c r="C240">
        <v>2015</v>
      </c>
      <c r="D240" t="s">
        <v>11</v>
      </c>
      <c r="E240" s="1">
        <v>42369</v>
      </c>
      <c r="F240">
        <v>172.25</v>
      </c>
      <c r="G240">
        <v>64</v>
      </c>
      <c r="H240" t="b">
        <v>1</v>
      </c>
    </row>
    <row r="241" spans="1:8" x14ac:dyDescent="0.2">
      <c r="A241" t="s">
        <v>324</v>
      </c>
      <c r="B241" t="s">
        <v>319</v>
      </c>
      <c r="C241">
        <v>2016</v>
      </c>
      <c r="D241" t="s">
        <v>7</v>
      </c>
      <c r="E241" s="1">
        <v>42460</v>
      </c>
      <c r="F241">
        <v>164.64</v>
      </c>
      <c r="G241">
        <v>61</v>
      </c>
      <c r="H241" t="b">
        <v>1</v>
      </c>
    </row>
    <row r="242" spans="1:8" x14ac:dyDescent="0.2">
      <c r="A242" t="s">
        <v>325</v>
      </c>
      <c r="B242" t="s">
        <v>319</v>
      </c>
      <c r="C242">
        <v>2016</v>
      </c>
      <c r="D242" t="s">
        <v>9</v>
      </c>
      <c r="E242" s="1">
        <v>42551</v>
      </c>
      <c r="F242">
        <v>175.97</v>
      </c>
      <c r="G242">
        <v>64</v>
      </c>
      <c r="H242" t="b">
        <v>1</v>
      </c>
    </row>
    <row r="243" spans="1:8" x14ac:dyDescent="0.2">
      <c r="A243" t="s">
        <v>326</v>
      </c>
      <c r="B243" t="s">
        <v>319</v>
      </c>
      <c r="C243">
        <v>2016</v>
      </c>
      <c r="D243" t="s">
        <v>10</v>
      </c>
      <c r="E243" s="1">
        <v>42643</v>
      </c>
      <c r="F243">
        <v>184.28</v>
      </c>
      <c r="G243">
        <v>64</v>
      </c>
      <c r="H243" t="b">
        <v>1</v>
      </c>
    </row>
    <row r="244" spans="1:8" x14ac:dyDescent="0.2">
      <c r="A244" t="s">
        <v>327</v>
      </c>
      <c r="B244" t="s">
        <v>319</v>
      </c>
      <c r="C244">
        <v>2016</v>
      </c>
      <c r="D244" t="s">
        <v>11</v>
      </c>
      <c r="E244" s="1">
        <v>42735</v>
      </c>
      <c r="F244">
        <v>187.21</v>
      </c>
      <c r="G244">
        <v>63</v>
      </c>
      <c r="H244" t="b">
        <v>1</v>
      </c>
    </row>
    <row r="245" spans="1:8" x14ac:dyDescent="0.2">
      <c r="A245" t="s">
        <v>328</v>
      </c>
      <c r="B245" t="s">
        <v>319</v>
      </c>
      <c r="C245">
        <v>2017</v>
      </c>
      <c r="D245" t="s">
        <v>7</v>
      </c>
      <c r="E245" s="1">
        <v>42825</v>
      </c>
      <c r="F245">
        <v>200.26</v>
      </c>
      <c r="G245">
        <v>62</v>
      </c>
      <c r="H245" t="b">
        <v>1</v>
      </c>
    </row>
    <row r="246" spans="1:8" x14ac:dyDescent="0.2">
      <c r="A246" t="s">
        <v>329</v>
      </c>
      <c r="B246" t="s">
        <v>319</v>
      </c>
      <c r="C246">
        <v>2017</v>
      </c>
      <c r="D246" t="s">
        <v>9</v>
      </c>
      <c r="E246" s="1">
        <v>42916</v>
      </c>
      <c r="F246">
        <v>207.45</v>
      </c>
      <c r="G246">
        <v>63</v>
      </c>
      <c r="H246" t="b">
        <v>1</v>
      </c>
    </row>
    <row r="247" spans="1:8" x14ac:dyDescent="0.2">
      <c r="A247" t="s">
        <v>330</v>
      </c>
      <c r="B247" t="s">
        <v>319</v>
      </c>
      <c r="C247">
        <v>2017</v>
      </c>
      <c r="D247" t="s">
        <v>10</v>
      </c>
      <c r="E247" s="1">
        <v>43008</v>
      </c>
      <c r="F247">
        <v>214.46</v>
      </c>
      <c r="G247">
        <v>63</v>
      </c>
      <c r="H247" t="b">
        <v>1</v>
      </c>
    </row>
    <row r="248" spans="1:8" x14ac:dyDescent="0.2">
      <c r="A248" t="s">
        <v>331</v>
      </c>
      <c r="B248" t="s">
        <v>319</v>
      </c>
      <c r="C248">
        <v>2017</v>
      </c>
      <c r="D248" t="s">
        <v>11</v>
      </c>
      <c r="E248" s="1">
        <v>43100</v>
      </c>
      <c r="F248">
        <v>227.33</v>
      </c>
      <c r="G248">
        <v>63</v>
      </c>
      <c r="H248" t="b">
        <v>1</v>
      </c>
    </row>
    <row r="249" spans="1:8" x14ac:dyDescent="0.2">
      <c r="A249" t="s">
        <v>332</v>
      </c>
      <c r="B249" t="s">
        <v>319</v>
      </c>
      <c r="C249">
        <v>2018</v>
      </c>
      <c r="D249" t="s">
        <v>7</v>
      </c>
      <c r="E249" s="1">
        <v>43190</v>
      </c>
      <c r="F249">
        <v>239.76</v>
      </c>
      <c r="G249">
        <v>61</v>
      </c>
      <c r="H249" t="b">
        <v>1</v>
      </c>
    </row>
    <row r="250" spans="1:8" x14ac:dyDescent="0.2">
      <c r="A250" t="s">
        <v>333</v>
      </c>
      <c r="B250" t="s">
        <v>319</v>
      </c>
      <c r="C250">
        <v>2018</v>
      </c>
      <c r="D250" t="s">
        <v>9</v>
      </c>
      <c r="E250" s="1">
        <v>43281</v>
      </c>
      <c r="F250">
        <v>238.21</v>
      </c>
      <c r="G250">
        <v>64</v>
      </c>
      <c r="H250" t="b">
        <v>1</v>
      </c>
    </row>
    <row r="251" spans="1:8" x14ac:dyDescent="0.2">
      <c r="A251" t="s">
        <v>334</v>
      </c>
      <c r="B251" t="s">
        <v>319</v>
      </c>
      <c r="C251">
        <v>2018</v>
      </c>
      <c r="D251" t="s">
        <v>10</v>
      </c>
      <c r="E251" s="1">
        <v>43373</v>
      </c>
      <c r="F251">
        <v>252.23</v>
      </c>
      <c r="G251">
        <v>63</v>
      </c>
      <c r="H251" t="b">
        <v>1</v>
      </c>
    </row>
    <row r="252" spans="1:8" x14ac:dyDescent="0.2">
      <c r="A252" t="s">
        <v>335</v>
      </c>
      <c r="B252" t="s">
        <v>319</v>
      </c>
      <c r="C252">
        <v>2018</v>
      </c>
      <c r="D252" t="s">
        <v>11</v>
      </c>
      <c r="E252" s="1">
        <v>43465</v>
      </c>
      <c r="F252">
        <v>239.95</v>
      </c>
      <c r="G252">
        <v>63</v>
      </c>
      <c r="H252" t="b">
        <v>1</v>
      </c>
    </row>
    <row r="253" spans="1:8" x14ac:dyDescent="0.2">
      <c r="A253" t="s">
        <v>336</v>
      </c>
      <c r="B253" t="s">
        <v>319</v>
      </c>
      <c r="C253">
        <v>2019</v>
      </c>
      <c r="D253" t="s">
        <v>7</v>
      </c>
      <c r="E253" s="1">
        <v>43555</v>
      </c>
      <c r="F253">
        <v>243.24</v>
      </c>
      <c r="G253">
        <v>61</v>
      </c>
      <c r="H253" t="b">
        <v>1</v>
      </c>
    </row>
    <row r="254" spans="1:8" x14ac:dyDescent="0.2">
      <c r="A254" t="s">
        <v>337</v>
      </c>
      <c r="B254" t="s">
        <v>319</v>
      </c>
      <c r="C254">
        <v>2019</v>
      </c>
      <c r="D254" t="s">
        <v>9</v>
      </c>
      <c r="E254" s="1">
        <v>43646</v>
      </c>
      <c r="F254">
        <v>258.86</v>
      </c>
      <c r="G254">
        <v>63</v>
      </c>
      <c r="H254" t="b">
        <v>1</v>
      </c>
    </row>
    <row r="255" spans="1:8" x14ac:dyDescent="0.2">
      <c r="A255" t="s">
        <v>338</v>
      </c>
      <c r="B255" t="s">
        <v>319</v>
      </c>
      <c r="C255">
        <v>2019</v>
      </c>
      <c r="D255" t="s">
        <v>10</v>
      </c>
      <c r="E255" s="1">
        <v>43738</v>
      </c>
      <c r="F255">
        <v>266.92</v>
      </c>
      <c r="G255">
        <v>64</v>
      </c>
      <c r="H255" t="b">
        <v>1</v>
      </c>
    </row>
    <row r="256" spans="1:8" x14ac:dyDescent="0.2">
      <c r="A256" t="s">
        <v>339</v>
      </c>
      <c r="B256" t="s">
        <v>319</v>
      </c>
      <c r="C256">
        <v>2019</v>
      </c>
      <c r="D256" t="s">
        <v>11</v>
      </c>
      <c r="E256" s="1">
        <v>43830</v>
      </c>
      <c r="F256">
        <v>279.45999999999998</v>
      </c>
      <c r="G256">
        <v>64</v>
      </c>
      <c r="H256" t="b">
        <v>1</v>
      </c>
    </row>
    <row r="257" spans="1:8" x14ac:dyDescent="0.2">
      <c r="A257" t="s">
        <v>340</v>
      </c>
      <c r="B257" t="s">
        <v>319</v>
      </c>
      <c r="C257">
        <v>2020</v>
      </c>
      <c r="D257" t="s">
        <v>7</v>
      </c>
      <c r="E257" s="1">
        <v>43921</v>
      </c>
      <c r="F257">
        <v>278.20999999999998</v>
      </c>
      <c r="G257">
        <v>62</v>
      </c>
      <c r="H257" t="b">
        <v>1</v>
      </c>
    </row>
    <row r="258" spans="1:8" x14ac:dyDescent="0.2">
      <c r="A258" t="s">
        <v>341</v>
      </c>
      <c r="B258" t="s">
        <v>319</v>
      </c>
      <c r="C258">
        <v>2020</v>
      </c>
      <c r="D258" t="s">
        <v>9</v>
      </c>
      <c r="E258" s="1">
        <v>44012</v>
      </c>
      <c r="F258">
        <v>268.52999999999997</v>
      </c>
      <c r="G258">
        <v>63</v>
      </c>
      <c r="H258" t="b">
        <v>1</v>
      </c>
    </row>
    <row r="259" spans="1:8" x14ac:dyDescent="0.2">
      <c r="A259" t="s">
        <v>342</v>
      </c>
      <c r="B259" t="s">
        <v>319</v>
      </c>
      <c r="C259">
        <v>2020</v>
      </c>
      <c r="D259" t="s">
        <v>10</v>
      </c>
      <c r="E259" s="1">
        <v>44104</v>
      </c>
      <c r="F259">
        <v>305.37</v>
      </c>
      <c r="G259">
        <v>64</v>
      </c>
      <c r="H259" t="b">
        <v>1</v>
      </c>
    </row>
    <row r="260" spans="1:8" x14ac:dyDescent="0.2">
      <c r="A260" t="s">
        <v>343</v>
      </c>
      <c r="B260" t="s">
        <v>319</v>
      </c>
      <c r="C260">
        <v>2020</v>
      </c>
      <c r="D260" t="s">
        <v>11</v>
      </c>
      <c r="E260" s="1">
        <v>44196</v>
      </c>
      <c r="F260">
        <v>328.23</v>
      </c>
      <c r="G260">
        <v>64</v>
      </c>
      <c r="H260" t="b">
        <v>1</v>
      </c>
    </row>
    <row r="261" spans="1:8" x14ac:dyDescent="0.2">
      <c r="A261" t="s">
        <v>344</v>
      </c>
      <c r="B261" t="s">
        <v>319</v>
      </c>
      <c r="C261">
        <v>2021</v>
      </c>
      <c r="D261" t="s">
        <v>7</v>
      </c>
      <c r="E261" s="1">
        <v>44286</v>
      </c>
      <c r="F261">
        <v>358.26</v>
      </c>
      <c r="G261">
        <v>61</v>
      </c>
      <c r="H261" t="b">
        <v>1</v>
      </c>
    </row>
    <row r="262" spans="1:8" x14ac:dyDescent="0.2">
      <c r="A262" t="s">
        <v>345</v>
      </c>
      <c r="B262" t="s">
        <v>319</v>
      </c>
      <c r="C262">
        <v>2021</v>
      </c>
      <c r="D262" t="s">
        <v>9</v>
      </c>
      <c r="E262" s="1">
        <v>44377</v>
      </c>
      <c r="F262">
        <v>389.03</v>
      </c>
      <c r="G262">
        <v>63</v>
      </c>
      <c r="H262" t="b">
        <v>1</v>
      </c>
    </row>
    <row r="263" spans="1:8" x14ac:dyDescent="0.2">
      <c r="A263" t="s">
        <v>346</v>
      </c>
      <c r="B263" t="s">
        <v>319</v>
      </c>
      <c r="C263">
        <v>2021</v>
      </c>
      <c r="D263" t="s">
        <v>10</v>
      </c>
      <c r="E263" s="1">
        <v>44469</v>
      </c>
      <c r="F263">
        <v>412.48</v>
      </c>
      <c r="G263">
        <v>64</v>
      </c>
      <c r="H263" t="b">
        <v>1</v>
      </c>
    </row>
    <row r="264" spans="1:8" x14ac:dyDescent="0.2">
      <c r="A264" t="s">
        <v>347</v>
      </c>
      <c r="B264" t="s">
        <v>319</v>
      </c>
      <c r="C264">
        <v>2021</v>
      </c>
      <c r="D264" t="s">
        <v>11</v>
      </c>
      <c r="E264" s="1">
        <v>44561</v>
      </c>
      <c r="F264">
        <v>430.69</v>
      </c>
      <c r="G264">
        <v>64</v>
      </c>
      <c r="H264" t="b">
        <v>1</v>
      </c>
    </row>
    <row r="265" spans="1:8" x14ac:dyDescent="0.2">
      <c r="A265" t="s">
        <v>348</v>
      </c>
      <c r="B265" t="s">
        <v>319</v>
      </c>
      <c r="C265">
        <v>2022</v>
      </c>
      <c r="D265" t="s">
        <v>7</v>
      </c>
      <c r="E265" s="1">
        <v>44651</v>
      </c>
      <c r="F265">
        <v>419.12</v>
      </c>
      <c r="G265">
        <v>62</v>
      </c>
      <c r="H265" t="b">
        <v>1</v>
      </c>
    </row>
    <row r="266" spans="1:8" x14ac:dyDescent="0.2">
      <c r="A266" t="s">
        <v>349</v>
      </c>
      <c r="B266" t="s">
        <v>319</v>
      </c>
      <c r="C266">
        <v>2022</v>
      </c>
      <c r="D266" t="s">
        <v>9</v>
      </c>
      <c r="E266" s="1">
        <v>44742</v>
      </c>
      <c r="F266">
        <v>386.88</v>
      </c>
      <c r="G266">
        <v>62</v>
      </c>
      <c r="H266" t="b">
        <v>1</v>
      </c>
    </row>
    <row r="267" spans="1:8" x14ac:dyDescent="0.2">
      <c r="A267" t="s">
        <v>350</v>
      </c>
      <c r="B267" t="s">
        <v>319</v>
      </c>
      <c r="C267">
        <v>2022</v>
      </c>
      <c r="D267" t="s">
        <v>10</v>
      </c>
      <c r="E267" s="1">
        <v>44834</v>
      </c>
      <c r="F267">
        <v>376.69</v>
      </c>
      <c r="G267">
        <v>64</v>
      </c>
      <c r="H267" t="b">
        <v>1</v>
      </c>
    </row>
    <row r="268" spans="1:8" x14ac:dyDescent="0.2">
      <c r="A268" t="s">
        <v>351</v>
      </c>
      <c r="B268" t="s">
        <v>319</v>
      </c>
      <c r="C268">
        <v>2022</v>
      </c>
      <c r="D268" t="s">
        <v>11</v>
      </c>
      <c r="E268" s="1">
        <v>44926</v>
      </c>
      <c r="F268">
        <v>366.1</v>
      </c>
      <c r="G268">
        <v>63</v>
      </c>
      <c r="H268" t="b">
        <v>1</v>
      </c>
    </row>
    <row r="269" spans="1:8" x14ac:dyDescent="0.2">
      <c r="A269" t="s">
        <v>352</v>
      </c>
      <c r="B269" t="s">
        <v>319</v>
      </c>
      <c r="C269">
        <v>2023</v>
      </c>
      <c r="D269" t="s">
        <v>7</v>
      </c>
      <c r="E269" s="1">
        <v>45016</v>
      </c>
      <c r="F269">
        <v>381.76</v>
      </c>
      <c r="G269">
        <v>62</v>
      </c>
      <c r="H269" t="b">
        <v>1</v>
      </c>
    </row>
    <row r="270" spans="1:8" x14ac:dyDescent="0.2">
      <c r="A270" t="s">
        <v>353</v>
      </c>
      <c r="B270" t="s">
        <v>319</v>
      </c>
      <c r="C270">
        <v>2023</v>
      </c>
      <c r="D270" t="s">
        <v>9</v>
      </c>
      <c r="E270" s="1">
        <v>45107</v>
      </c>
      <c r="F270">
        <v>403.08</v>
      </c>
      <c r="G270">
        <v>62</v>
      </c>
      <c r="H270" t="b">
        <v>1</v>
      </c>
    </row>
    <row r="271" spans="1:8" x14ac:dyDescent="0.2">
      <c r="A271" t="s">
        <v>354</v>
      </c>
      <c r="B271" t="s">
        <v>319</v>
      </c>
      <c r="C271">
        <v>2023</v>
      </c>
      <c r="D271" t="s">
        <v>10</v>
      </c>
      <c r="E271" s="1">
        <v>45199</v>
      </c>
      <c r="F271">
        <v>428.75</v>
      </c>
      <c r="G271">
        <v>63</v>
      </c>
      <c r="H271" t="b">
        <v>1</v>
      </c>
    </row>
    <row r="272" spans="1:8" x14ac:dyDescent="0.2">
      <c r="A272" t="s">
        <v>355</v>
      </c>
      <c r="B272" t="s">
        <v>319</v>
      </c>
      <c r="C272">
        <v>2023</v>
      </c>
      <c r="D272" t="s">
        <v>11</v>
      </c>
      <c r="E272" s="1">
        <v>45291</v>
      </c>
      <c r="F272">
        <v>430.96</v>
      </c>
      <c r="G272">
        <v>63</v>
      </c>
      <c r="H272" t="b">
        <v>1</v>
      </c>
    </row>
    <row r="273" spans="1:8" x14ac:dyDescent="0.2">
      <c r="A273" t="s">
        <v>356</v>
      </c>
      <c r="B273" t="s">
        <v>319</v>
      </c>
      <c r="C273">
        <v>2024</v>
      </c>
      <c r="D273" t="s">
        <v>7</v>
      </c>
      <c r="E273" s="1">
        <v>45382</v>
      </c>
      <c r="F273">
        <v>483.53</v>
      </c>
      <c r="G273">
        <v>61</v>
      </c>
      <c r="H273" t="b">
        <v>1</v>
      </c>
    </row>
    <row r="274" spans="1:8" x14ac:dyDescent="0.2">
      <c r="A274" t="s">
        <v>357</v>
      </c>
      <c r="B274" t="s">
        <v>319</v>
      </c>
      <c r="C274">
        <v>2024</v>
      </c>
      <c r="D274" t="s">
        <v>9</v>
      </c>
      <c r="E274" s="1">
        <v>45473</v>
      </c>
      <c r="F274">
        <v>509.8</v>
      </c>
      <c r="G274">
        <v>63</v>
      </c>
      <c r="H274" t="b">
        <v>1</v>
      </c>
    </row>
    <row r="275" spans="1:8" x14ac:dyDescent="0.2">
      <c r="A275" t="s">
        <v>358</v>
      </c>
      <c r="B275" t="s">
        <v>319</v>
      </c>
      <c r="C275">
        <v>2024</v>
      </c>
      <c r="D275" t="s">
        <v>10</v>
      </c>
      <c r="E275" s="1">
        <v>45565</v>
      </c>
      <c r="F275">
        <v>540.33000000000004</v>
      </c>
      <c r="G275">
        <v>64</v>
      </c>
      <c r="H275" t="b">
        <v>1</v>
      </c>
    </row>
    <row r="276" spans="1:8" x14ac:dyDescent="0.2">
      <c r="A276" t="s">
        <v>359</v>
      </c>
      <c r="B276" t="s">
        <v>319</v>
      </c>
      <c r="C276">
        <v>2024</v>
      </c>
      <c r="D276" t="s">
        <v>11</v>
      </c>
      <c r="E276" s="1">
        <v>45657</v>
      </c>
      <c r="F276">
        <v>577.52</v>
      </c>
      <c r="G276">
        <v>64</v>
      </c>
      <c r="H276" t="b">
        <v>1</v>
      </c>
    </row>
    <row r="277" spans="1:8" x14ac:dyDescent="0.2">
      <c r="A277" t="s">
        <v>360</v>
      </c>
      <c r="B277" t="s">
        <v>319</v>
      </c>
      <c r="C277">
        <v>2025</v>
      </c>
      <c r="D277" t="s">
        <v>7</v>
      </c>
      <c r="E277" s="1">
        <v>45747</v>
      </c>
      <c r="F277">
        <v>578.08000000000004</v>
      </c>
      <c r="G277">
        <v>60</v>
      </c>
      <c r="H277" t="b">
        <v>1</v>
      </c>
    </row>
    <row r="278" spans="1:8" x14ac:dyDescent="0.2">
      <c r="A278" t="s">
        <v>361</v>
      </c>
      <c r="B278" t="s">
        <v>319</v>
      </c>
      <c r="C278">
        <v>2025</v>
      </c>
      <c r="D278" t="s">
        <v>9</v>
      </c>
      <c r="E278" s="1">
        <v>45838</v>
      </c>
      <c r="F278">
        <v>563.91</v>
      </c>
      <c r="G278">
        <v>62</v>
      </c>
      <c r="H278" t="b">
        <v>1</v>
      </c>
    </row>
    <row r="279" spans="1:8" x14ac:dyDescent="0.2">
      <c r="A279" t="s">
        <v>362</v>
      </c>
      <c r="B279" t="s">
        <v>319</v>
      </c>
      <c r="C279">
        <v>2025</v>
      </c>
      <c r="D279" t="s">
        <v>10</v>
      </c>
      <c r="E279" s="1">
        <v>45930</v>
      </c>
      <c r="F279">
        <v>634.23</v>
      </c>
      <c r="G279">
        <v>64</v>
      </c>
      <c r="H279" t="b">
        <v>1</v>
      </c>
    </row>
    <row r="280" spans="1:8" x14ac:dyDescent="0.2">
      <c r="A280" t="s">
        <v>363</v>
      </c>
      <c r="B280" t="s">
        <v>319</v>
      </c>
      <c r="C280">
        <v>2025</v>
      </c>
      <c r="D280" t="s">
        <v>11</v>
      </c>
      <c r="E280" s="1">
        <v>46022</v>
      </c>
      <c r="F280">
        <v>670.58</v>
      </c>
      <c r="G280">
        <v>64</v>
      </c>
      <c r="H280" t="b">
        <v>1</v>
      </c>
    </row>
    <row r="281" spans="1:8" x14ac:dyDescent="0.2">
      <c r="A281" t="s">
        <v>364</v>
      </c>
      <c r="B281" t="s">
        <v>319</v>
      </c>
      <c r="C281">
        <v>2026</v>
      </c>
      <c r="D281" t="s">
        <v>7</v>
      </c>
      <c r="E281" s="1">
        <v>46112</v>
      </c>
      <c r="F281">
        <v>676.53</v>
      </c>
      <c r="G281">
        <v>61</v>
      </c>
      <c r="H281" t="b">
        <v>1</v>
      </c>
    </row>
    <row r="282" spans="1:8" x14ac:dyDescent="0.2">
      <c r="A282" t="s">
        <v>365</v>
      </c>
      <c r="B282" t="s">
        <v>319</v>
      </c>
      <c r="C282">
        <v>2026</v>
      </c>
      <c r="D282" t="s">
        <v>9</v>
      </c>
      <c r="E282" s="1">
        <v>46203</v>
      </c>
      <c r="F282">
        <v>723.39</v>
      </c>
      <c r="G282">
        <v>62</v>
      </c>
      <c r="H282" t="b">
        <v>1</v>
      </c>
    </row>
    <row r="283" spans="1:8" x14ac:dyDescent="0.2">
      <c r="A283" t="s">
        <v>366</v>
      </c>
      <c r="B283" t="s">
        <v>319</v>
      </c>
      <c r="C283">
        <v>2026</v>
      </c>
      <c r="D283" t="s">
        <v>10</v>
      </c>
      <c r="E283" s="1">
        <v>46295</v>
      </c>
      <c r="F283">
        <v>758</v>
      </c>
      <c r="G283">
        <v>47</v>
      </c>
      <c r="H283" t="b">
        <v>0</v>
      </c>
    </row>
    <row r="284" spans="1:8" x14ac:dyDescent="0.2">
      <c r="A284" t="s">
        <v>260</v>
      </c>
      <c r="B284" t="s">
        <v>17</v>
      </c>
      <c r="C284">
        <v>2015</v>
      </c>
      <c r="D284" t="s">
        <v>7</v>
      </c>
      <c r="E284" s="1">
        <v>42094</v>
      </c>
      <c r="F284">
        <v>67.75</v>
      </c>
      <c r="G284">
        <v>61</v>
      </c>
      <c r="H284" t="b">
        <v>1</v>
      </c>
    </row>
    <row r="285" spans="1:8" x14ac:dyDescent="0.2">
      <c r="A285" t="s">
        <v>261</v>
      </c>
      <c r="B285" t="s">
        <v>17</v>
      </c>
      <c r="C285">
        <v>2015</v>
      </c>
      <c r="D285" t="s">
        <v>9</v>
      </c>
      <c r="E285" s="1">
        <v>42185</v>
      </c>
      <c r="F285">
        <v>57.89</v>
      </c>
      <c r="G285">
        <v>63</v>
      </c>
      <c r="H285" t="b">
        <v>1</v>
      </c>
    </row>
    <row r="286" spans="1:8" x14ac:dyDescent="0.2">
      <c r="A286" t="s">
        <v>262</v>
      </c>
      <c r="B286" t="s">
        <v>17</v>
      </c>
      <c r="C286">
        <v>2015</v>
      </c>
      <c r="D286" t="s">
        <v>10</v>
      </c>
      <c r="E286" s="1">
        <v>42277</v>
      </c>
      <c r="F286">
        <v>56.42</v>
      </c>
      <c r="G286">
        <v>64</v>
      </c>
      <c r="H286" t="b">
        <v>1</v>
      </c>
    </row>
    <row r="287" spans="1:8" x14ac:dyDescent="0.2">
      <c r="A287" t="s">
        <v>263</v>
      </c>
      <c r="B287" t="s">
        <v>17</v>
      </c>
      <c r="C287">
        <v>2015</v>
      </c>
      <c r="D287" t="s">
        <v>11</v>
      </c>
      <c r="E287" s="1">
        <v>42369</v>
      </c>
      <c r="F287">
        <v>57.74</v>
      </c>
      <c r="G287">
        <v>64</v>
      </c>
      <c r="H287" t="b">
        <v>1</v>
      </c>
    </row>
    <row r="288" spans="1:8" x14ac:dyDescent="0.2">
      <c r="A288" t="s">
        <v>264</v>
      </c>
      <c r="B288" t="s">
        <v>17</v>
      </c>
      <c r="C288">
        <v>2016</v>
      </c>
      <c r="D288" t="s">
        <v>7</v>
      </c>
      <c r="E288" s="1">
        <v>42460</v>
      </c>
      <c r="F288">
        <v>53.1</v>
      </c>
      <c r="G288">
        <v>61</v>
      </c>
      <c r="H288" t="b">
        <v>1</v>
      </c>
    </row>
    <row r="289" spans="1:8" x14ac:dyDescent="0.2">
      <c r="A289" t="s">
        <v>265</v>
      </c>
      <c r="B289" t="s">
        <v>17</v>
      </c>
      <c r="C289">
        <v>2016</v>
      </c>
      <c r="D289" t="s">
        <v>9</v>
      </c>
      <c r="E289" s="1">
        <v>42551</v>
      </c>
      <c r="F289">
        <v>47.32</v>
      </c>
      <c r="G289">
        <v>64</v>
      </c>
      <c r="H289" t="b">
        <v>1</v>
      </c>
    </row>
    <row r="290" spans="1:8" x14ac:dyDescent="0.2">
      <c r="A290" t="s">
        <v>266</v>
      </c>
      <c r="B290" t="s">
        <v>17</v>
      </c>
      <c r="C290">
        <v>2016</v>
      </c>
      <c r="D290" t="s">
        <v>10</v>
      </c>
      <c r="E290" s="1">
        <v>42643</v>
      </c>
      <c r="F290">
        <v>48.11</v>
      </c>
      <c r="G290">
        <v>64</v>
      </c>
      <c r="H290" t="b">
        <v>1</v>
      </c>
    </row>
    <row r="291" spans="1:8" x14ac:dyDescent="0.2">
      <c r="A291" t="s">
        <v>267</v>
      </c>
      <c r="B291" t="s">
        <v>17</v>
      </c>
      <c r="C291">
        <v>2016</v>
      </c>
      <c r="D291" t="s">
        <v>11</v>
      </c>
      <c r="E291" s="1">
        <v>42735</v>
      </c>
      <c r="F291">
        <v>63.72</v>
      </c>
      <c r="G291">
        <v>63</v>
      </c>
      <c r="H291" t="b">
        <v>1</v>
      </c>
    </row>
    <row r="292" spans="1:8" x14ac:dyDescent="0.2">
      <c r="A292" t="s">
        <v>268</v>
      </c>
      <c r="B292" t="s">
        <v>17</v>
      </c>
      <c r="C292">
        <v>2017</v>
      </c>
      <c r="D292" t="s">
        <v>7</v>
      </c>
      <c r="E292" s="1">
        <v>42825</v>
      </c>
      <c r="F292">
        <v>72.28</v>
      </c>
      <c r="G292">
        <v>62</v>
      </c>
      <c r="H292" t="b">
        <v>1</v>
      </c>
    </row>
    <row r="293" spans="1:8" x14ac:dyDescent="0.2">
      <c r="A293" t="s">
        <v>269</v>
      </c>
      <c r="B293" t="s">
        <v>17</v>
      </c>
      <c r="C293">
        <v>2017</v>
      </c>
      <c r="D293" t="s">
        <v>9</v>
      </c>
      <c r="E293" s="1">
        <v>42916</v>
      </c>
      <c r="F293">
        <v>75.5</v>
      </c>
      <c r="G293">
        <v>63</v>
      </c>
      <c r="H293" t="b">
        <v>1</v>
      </c>
    </row>
    <row r="294" spans="1:8" x14ac:dyDescent="0.2">
      <c r="A294" t="s">
        <v>270</v>
      </c>
      <c r="B294" t="s">
        <v>17</v>
      </c>
      <c r="C294">
        <v>2017</v>
      </c>
      <c r="D294" t="s">
        <v>10</v>
      </c>
      <c r="E294" s="1">
        <v>43008</v>
      </c>
      <c r="F294">
        <v>66.62</v>
      </c>
      <c r="G294">
        <v>63</v>
      </c>
      <c r="H294" t="b">
        <v>1</v>
      </c>
    </row>
    <row r="295" spans="1:8" x14ac:dyDescent="0.2">
      <c r="A295" t="s">
        <v>271</v>
      </c>
      <c r="B295" t="s">
        <v>17</v>
      </c>
      <c r="C295">
        <v>2017</v>
      </c>
      <c r="D295" t="s">
        <v>11</v>
      </c>
      <c r="E295" s="1">
        <v>43100</v>
      </c>
      <c r="F295">
        <v>62.33</v>
      </c>
      <c r="G295">
        <v>63</v>
      </c>
      <c r="H295" t="b">
        <v>1</v>
      </c>
    </row>
    <row r="296" spans="1:8" x14ac:dyDescent="0.2">
      <c r="A296" t="s">
        <v>272</v>
      </c>
      <c r="B296" t="s">
        <v>17</v>
      </c>
      <c r="C296">
        <v>2018</v>
      </c>
      <c r="D296" t="s">
        <v>7</v>
      </c>
      <c r="E296" s="1">
        <v>43190</v>
      </c>
      <c r="F296">
        <v>69.09</v>
      </c>
      <c r="G296">
        <v>61</v>
      </c>
      <c r="H296" t="b">
        <v>1</v>
      </c>
    </row>
    <row r="297" spans="1:8" x14ac:dyDescent="0.2">
      <c r="A297" t="s">
        <v>273</v>
      </c>
      <c r="B297" t="s">
        <v>17</v>
      </c>
      <c r="C297">
        <v>2018</v>
      </c>
      <c r="D297" t="s">
        <v>9</v>
      </c>
      <c r="E297" s="1">
        <v>43281</v>
      </c>
      <c r="F297">
        <v>69.489999999999995</v>
      </c>
      <c r="G297">
        <v>64</v>
      </c>
      <c r="H297" t="b">
        <v>1</v>
      </c>
    </row>
    <row r="298" spans="1:8" x14ac:dyDescent="0.2">
      <c r="A298" t="s">
        <v>274</v>
      </c>
      <c r="B298" t="s">
        <v>17</v>
      </c>
      <c r="C298">
        <v>2018</v>
      </c>
      <c r="D298" t="s">
        <v>10</v>
      </c>
      <c r="E298" s="1">
        <v>43373</v>
      </c>
      <c r="F298">
        <v>82.48</v>
      </c>
      <c r="G298">
        <v>63</v>
      </c>
      <c r="H298" t="b">
        <v>1</v>
      </c>
    </row>
    <row r="299" spans="1:8" x14ac:dyDescent="0.2">
      <c r="A299" t="s">
        <v>275</v>
      </c>
      <c r="B299" t="s">
        <v>17</v>
      </c>
      <c r="C299">
        <v>2018</v>
      </c>
      <c r="D299" t="s">
        <v>11</v>
      </c>
      <c r="E299" s="1">
        <v>43465</v>
      </c>
      <c r="F299">
        <v>87.84</v>
      </c>
      <c r="G299">
        <v>63</v>
      </c>
      <c r="H299" t="b">
        <v>1</v>
      </c>
    </row>
    <row r="300" spans="1:8" x14ac:dyDescent="0.2">
      <c r="A300" t="s">
        <v>276</v>
      </c>
      <c r="B300" t="s">
        <v>17</v>
      </c>
      <c r="C300">
        <v>2019</v>
      </c>
      <c r="D300" t="s">
        <v>7</v>
      </c>
      <c r="E300" s="1">
        <v>43555</v>
      </c>
      <c r="F300">
        <v>84.4</v>
      </c>
      <c r="G300">
        <v>61</v>
      </c>
      <c r="H300" t="b">
        <v>1</v>
      </c>
    </row>
    <row r="301" spans="1:8" x14ac:dyDescent="0.2">
      <c r="A301" t="s">
        <v>277</v>
      </c>
      <c r="B301" t="s">
        <v>17</v>
      </c>
      <c r="C301">
        <v>2019</v>
      </c>
      <c r="D301" t="s">
        <v>9</v>
      </c>
      <c r="E301" s="1">
        <v>43646</v>
      </c>
      <c r="F301">
        <v>84.63</v>
      </c>
      <c r="G301">
        <v>63</v>
      </c>
      <c r="H301" t="b">
        <v>1</v>
      </c>
    </row>
    <row r="302" spans="1:8" x14ac:dyDescent="0.2">
      <c r="A302" t="s">
        <v>278</v>
      </c>
      <c r="B302" t="s">
        <v>17</v>
      </c>
      <c r="C302">
        <v>2019</v>
      </c>
      <c r="D302" t="s">
        <v>10</v>
      </c>
      <c r="E302" s="1">
        <v>43738</v>
      </c>
      <c r="F302">
        <v>88.37</v>
      </c>
      <c r="G302">
        <v>64</v>
      </c>
      <c r="H302" t="b">
        <v>1</v>
      </c>
    </row>
    <row r="303" spans="1:8" x14ac:dyDescent="0.2">
      <c r="A303" t="s">
        <v>279</v>
      </c>
      <c r="B303" t="s">
        <v>17</v>
      </c>
      <c r="C303">
        <v>2019</v>
      </c>
      <c r="D303" t="s">
        <v>11</v>
      </c>
      <c r="E303" s="1">
        <v>43830</v>
      </c>
      <c r="F303">
        <v>89.75</v>
      </c>
      <c r="G303">
        <v>64</v>
      </c>
      <c r="H303" t="b">
        <v>1</v>
      </c>
    </row>
    <row r="304" spans="1:8" x14ac:dyDescent="0.2">
      <c r="A304" t="s">
        <v>280</v>
      </c>
      <c r="B304" t="s">
        <v>17</v>
      </c>
      <c r="C304">
        <v>2020</v>
      </c>
      <c r="D304" t="s">
        <v>7</v>
      </c>
      <c r="E304" s="1">
        <v>43921</v>
      </c>
      <c r="F304">
        <v>66.12</v>
      </c>
      <c r="G304">
        <v>62</v>
      </c>
      <c r="H304" t="b">
        <v>1</v>
      </c>
    </row>
    <row r="305" spans="1:8" x14ac:dyDescent="0.2">
      <c r="A305" t="s">
        <v>281</v>
      </c>
      <c r="B305" t="s">
        <v>17</v>
      </c>
      <c r="C305">
        <v>2020</v>
      </c>
      <c r="D305" t="s">
        <v>9</v>
      </c>
      <c r="E305" s="1">
        <v>44012</v>
      </c>
      <c r="F305">
        <v>29.99</v>
      </c>
      <c r="G305">
        <v>63</v>
      </c>
      <c r="H305" t="b">
        <v>1</v>
      </c>
    </row>
    <row r="306" spans="1:8" x14ac:dyDescent="0.2">
      <c r="A306" t="s">
        <v>282</v>
      </c>
      <c r="B306" t="s">
        <v>17</v>
      </c>
      <c r="C306">
        <v>2020</v>
      </c>
      <c r="D306" t="s">
        <v>10</v>
      </c>
      <c r="E306" s="1">
        <v>44104</v>
      </c>
      <c r="F306">
        <v>34.590000000000003</v>
      </c>
      <c r="G306">
        <v>64</v>
      </c>
      <c r="H306" t="b">
        <v>1</v>
      </c>
    </row>
    <row r="307" spans="1:8" x14ac:dyDescent="0.2">
      <c r="A307" t="s">
        <v>283</v>
      </c>
      <c r="B307" t="s">
        <v>17</v>
      </c>
      <c r="C307">
        <v>2020</v>
      </c>
      <c r="D307" t="s">
        <v>11</v>
      </c>
      <c r="E307" s="1">
        <v>44196</v>
      </c>
      <c r="F307">
        <v>40.450000000000003</v>
      </c>
      <c r="G307">
        <v>64</v>
      </c>
      <c r="H307" t="b">
        <v>1</v>
      </c>
    </row>
    <row r="308" spans="1:8" x14ac:dyDescent="0.2">
      <c r="A308" t="s">
        <v>284</v>
      </c>
      <c r="B308" t="s">
        <v>17</v>
      </c>
      <c r="C308">
        <v>2021</v>
      </c>
      <c r="D308" t="s">
        <v>7</v>
      </c>
      <c r="E308" s="1">
        <v>44286</v>
      </c>
      <c r="F308">
        <v>48.83</v>
      </c>
      <c r="G308">
        <v>61</v>
      </c>
      <c r="H308" t="b">
        <v>1</v>
      </c>
    </row>
    <row r="309" spans="1:8" x14ac:dyDescent="0.2">
      <c r="A309" t="s">
        <v>285</v>
      </c>
      <c r="B309" t="s">
        <v>17</v>
      </c>
      <c r="C309">
        <v>2021</v>
      </c>
      <c r="D309" t="s">
        <v>9</v>
      </c>
      <c r="E309" s="1">
        <v>44377</v>
      </c>
      <c r="F309">
        <v>55.46</v>
      </c>
      <c r="G309">
        <v>63</v>
      </c>
      <c r="H309" t="b">
        <v>1</v>
      </c>
    </row>
    <row r="310" spans="1:8" x14ac:dyDescent="0.2">
      <c r="A310" t="s">
        <v>286</v>
      </c>
      <c r="B310" t="s">
        <v>17</v>
      </c>
      <c r="C310">
        <v>2021</v>
      </c>
      <c r="D310" t="s">
        <v>10</v>
      </c>
      <c r="E310" s="1">
        <v>44469</v>
      </c>
      <c r="F310">
        <v>47.12</v>
      </c>
      <c r="G310">
        <v>64</v>
      </c>
      <c r="H310" t="b">
        <v>1</v>
      </c>
    </row>
    <row r="311" spans="1:8" x14ac:dyDescent="0.2">
      <c r="A311" t="s">
        <v>287</v>
      </c>
      <c r="B311" t="s">
        <v>17</v>
      </c>
      <c r="C311">
        <v>2021</v>
      </c>
      <c r="D311" t="s">
        <v>11</v>
      </c>
      <c r="E311" s="1">
        <v>44561</v>
      </c>
      <c r="F311">
        <v>46.38</v>
      </c>
      <c r="G311">
        <v>64</v>
      </c>
      <c r="H311" t="b">
        <v>1</v>
      </c>
    </row>
    <row r="312" spans="1:8" x14ac:dyDescent="0.2">
      <c r="A312" t="s">
        <v>288</v>
      </c>
      <c r="B312" t="s">
        <v>17</v>
      </c>
      <c r="C312">
        <v>2022</v>
      </c>
      <c r="D312" t="s">
        <v>7</v>
      </c>
      <c r="E312" s="1">
        <v>44651</v>
      </c>
      <c r="F312">
        <v>43.35</v>
      </c>
      <c r="G312">
        <v>62</v>
      </c>
      <c r="H312" t="b">
        <v>1</v>
      </c>
    </row>
    <row r="313" spans="1:8" x14ac:dyDescent="0.2">
      <c r="A313" t="s">
        <v>289</v>
      </c>
      <c r="B313" t="s">
        <v>17</v>
      </c>
      <c r="C313">
        <v>2022</v>
      </c>
      <c r="D313" t="s">
        <v>9</v>
      </c>
      <c r="E313" s="1">
        <v>44742</v>
      </c>
      <c r="F313">
        <v>43.89</v>
      </c>
      <c r="G313">
        <v>62</v>
      </c>
      <c r="H313" t="b">
        <v>1</v>
      </c>
    </row>
    <row r="314" spans="1:8" x14ac:dyDescent="0.2">
      <c r="A314" t="s">
        <v>290</v>
      </c>
      <c r="B314" t="s">
        <v>17</v>
      </c>
      <c r="C314">
        <v>2022</v>
      </c>
      <c r="D314" t="s">
        <v>10</v>
      </c>
      <c r="E314" s="1">
        <v>44834</v>
      </c>
      <c r="F314">
        <v>37.200000000000003</v>
      </c>
      <c r="G314">
        <v>64</v>
      </c>
      <c r="H314" t="b">
        <v>1</v>
      </c>
    </row>
    <row r="315" spans="1:8" x14ac:dyDescent="0.2">
      <c r="A315" t="s">
        <v>291</v>
      </c>
      <c r="B315" t="s">
        <v>17</v>
      </c>
      <c r="C315">
        <v>2022</v>
      </c>
      <c r="D315" t="s">
        <v>11</v>
      </c>
      <c r="E315" s="1">
        <v>44926</v>
      </c>
      <c r="F315">
        <v>40.58</v>
      </c>
      <c r="G315">
        <v>63</v>
      </c>
      <c r="H315" t="b">
        <v>1</v>
      </c>
    </row>
    <row r="316" spans="1:8" x14ac:dyDescent="0.2">
      <c r="A316" t="s">
        <v>292</v>
      </c>
      <c r="B316" t="s">
        <v>17</v>
      </c>
      <c r="C316">
        <v>2023</v>
      </c>
      <c r="D316" t="s">
        <v>7</v>
      </c>
      <c r="E316" s="1">
        <v>45016</v>
      </c>
      <c r="F316">
        <v>47.92</v>
      </c>
      <c r="G316">
        <v>62</v>
      </c>
      <c r="H316" t="b">
        <v>1</v>
      </c>
    </row>
    <row r="317" spans="1:8" x14ac:dyDescent="0.2">
      <c r="A317" t="s">
        <v>293</v>
      </c>
      <c r="B317" t="s">
        <v>17</v>
      </c>
      <c r="C317">
        <v>2023</v>
      </c>
      <c r="D317" t="s">
        <v>9</v>
      </c>
      <c r="E317" s="1">
        <v>45107</v>
      </c>
      <c r="F317">
        <v>47.22</v>
      </c>
      <c r="G317">
        <v>62</v>
      </c>
      <c r="H317" t="b">
        <v>1</v>
      </c>
    </row>
    <row r="318" spans="1:8" x14ac:dyDescent="0.2">
      <c r="A318" t="s">
        <v>294</v>
      </c>
      <c r="B318" t="s">
        <v>17</v>
      </c>
      <c r="C318">
        <v>2023</v>
      </c>
      <c r="D318" t="s">
        <v>10</v>
      </c>
      <c r="E318" s="1">
        <v>45199</v>
      </c>
      <c r="F318">
        <v>50.56</v>
      </c>
      <c r="G318">
        <v>63</v>
      </c>
      <c r="H318" t="b">
        <v>1</v>
      </c>
    </row>
    <row r="319" spans="1:8" x14ac:dyDescent="0.2">
      <c r="A319" t="s">
        <v>295</v>
      </c>
      <c r="B319" t="s">
        <v>17</v>
      </c>
      <c r="C319">
        <v>2023</v>
      </c>
      <c r="D319" t="s">
        <v>11</v>
      </c>
      <c r="E319" s="1">
        <v>45291</v>
      </c>
      <c r="F319">
        <v>39.32</v>
      </c>
      <c r="G319">
        <v>63</v>
      </c>
      <c r="H319" t="b">
        <v>1</v>
      </c>
    </row>
    <row r="320" spans="1:8" x14ac:dyDescent="0.2">
      <c r="A320" t="s">
        <v>296</v>
      </c>
      <c r="B320" t="s">
        <v>17</v>
      </c>
      <c r="C320">
        <v>2024</v>
      </c>
      <c r="D320" t="s">
        <v>7</v>
      </c>
      <c r="E320" s="1">
        <v>45382</v>
      </c>
      <c r="F320">
        <v>42.85</v>
      </c>
      <c r="G320">
        <v>61</v>
      </c>
      <c r="H320" t="b">
        <v>1</v>
      </c>
    </row>
    <row r="321" spans="1:8" x14ac:dyDescent="0.2">
      <c r="A321" t="s">
        <v>297</v>
      </c>
      <c r="B321" t="s">
        <v>17</v>
      </c>
      <c r="C321">
        <v>2024</v>
      </c>
      <c r="D321" t="s">
        <v>9</v>
      </c>
      <c r="E321" s="1">
        <v>45473</v>
      </c>
      <c r="F321">
        <v>50.33</v>
      </c>
      <c r="G321">
        <v>63</v>
      </c>
      <c r="H321" t="b">
        <v>1</v>
      </c>
    </row>
    <row r="322" spans="1:8" x14ac:dyDescent="0.2">
      <c r="A322" t="s">
        <v>298</v>
      </c>
      <c r="B322" t="s">
        <v>17</v>
      </c>
      <c r="C322">
        <v>2024</v>
      </c>
      <c r="D322" t="s">
        <v>10</v>
      </c>
      <c r="E322" s="1">
        <v>45565</v>
      </c>
      <c r="F322">
        <v>46.29</v>
      </c>
      <c r="G322">
        <v>64</v>
      </c>
      <c r="H322" t="b">
        <v>1</v>
      </c>
    </row>
    <row r="323" spans="1:8" x14ac:dyDescent="0.2">
      <c r="A323" t="s">
        <v>299</v>
      </c>
      <c r="B323" t="s">
        <v>17</v>
      </c>
      <c r="C323">
        <v>2024</v>
      </c>
      <c r="D323" t="s">
        <v>11</v>
      </c>
      <c r="E323" s="1">
        <v>45657</v>
      </c>
      <c r="F323">
        <v>84.54</v>
      </c>
      <c r="G323">
        <v>64</v>
      </c>
      <c r="H323" t="b">
        <v>1</v>
      </c>
    </row>
    <row r="324" spans="1:8" x14ac:dyDescent="0.2">
      <c r="A324" t="s">
        <v>300</v>
      </c>
      <c r="B324" t="s">
        <v>17</v>
      </c>
      <c r="C324">
        <v>2025</v>
      </c>
      <c r="D324" t="s">
        <v>7</v>
      </c>
      <c r="E324" s="1">
        <v>45747</v>
      </c>
      <c r="F324">
        <v>94.43</v>
      </c>
      <c r="G324">
        <v>60</v>
      </c>
      <c r="H324" t="b">
        <v>1</v>
      </c>
    </row>
    <row r="325" spans="1:8" x14ac:dyDescent="0.2">
      <c r="A325" t="s">
        <v>301</v>
      </c>
      <c r="B325" t="s">
        <v>17</v>
      </c>
      <c r="C325">
        <v>2025</v>
      </c>
      <c r="D325" t="s">
        <v>9</v>
      </c>
      <c r="E325" s="1">
        <v>45838</v>
      </c>
      <c r="F325">
        <v>73.67</v>
      </c>
      <c r="G325">
        <v>62</v>
      </c>
      <c r="H325" t="b">
        <v>1</v>
      </c>
    </row>
    <row r="326" spans="1:8" x14ac:dyDescent="0.2">
      <c r="A326" t="s">
        <v>302</v>
      </c>
      <c r="B326" t="s">
        <v>17</v>
      </c>
      <c r="C326">
        <v>2025</v>
      </c>
      <c r="D326" t="s">
        <v>10</v>
      </c>
      <c r="E326" s="1">
        <v>45930</v>
      </c>
      <c r="F326">
        <v>96.17</v>
      </c>
      <c r="G326">
        <v>64</v>
      </c>
      <c r="H326" t="b">
        <v>1</v>
      </c>
    </row>
    <row r="327" spans="1:8" x14ac:dyDescent="0.2">
      <c r="A327" t="s">
        <v>303</v>
      </c>
      <c r="B327" t="s">
        <v>17</v>
      </c>
      <c r="C327">
        <v>2025</v>
      </c>
      <c r="D327" t="s">
        <v>11</v>
      </c>
      <c r="E327" s="1">
        <v>46022</v>
      </c>
      <c r="F327">
        <v>101.05</v>
      </c>
      <c r="G327">
        <v>64</v>
      </c>
      <c r="H327" t="b">
        <v>1</v>
      </c>
    </row>
    <row r="328" spans="1:8" x14ac:dyDescent="0.2">
      <c r="A328" t="s">
        <v>304</v>
      </c>
      <c r="B328" t="s">
        <v>17</v>
      </c>
      <c r="C328">
        <v>2026</v>
      </c>
      <c r="D328" t="s">
        <v>7</v>
      </c>
      <c r="E328" s="1">
        <v>46112</v>
      </c>
      <c r="F328">
        <v>104.78</v>
      </c>
      <c r="G328">
        <v>61</v>
      </c>
      <c r="H328" t="b">
        <v>1</v>
      </c>
    </row>
    <row r="329" spans="1:8" x14ac:dyDescent="0.2">
      <c r="A329" t="s">
        <v>305</v>
      </c>
      <c r="B329" t="s">
        <v>17</v>
      </c>
      <c r="C329">
        <v>2026</v>
      </c>
      <c r="D329" t="s">
        <v>9</v>
      </c>
      <c r="E329" s="1">
        <v>46203</v>
      </c>
      <c r="F329">
        <v>103.58</v>
      </c>
      <c r="G329">
        <v>62</v>
      </c>
      <c r="H329" t="b">
        <v>1</v>
      </c>
    </row>
    <row r="330" spans="1:8" x14ac:dyDescent="0.2">
      <c r="A330" t="s">
        <v>306</v>
      </c>
      <c r="B330" t="s">
        <v>17</v>
      </c>
      <c r="C330">
        <v>2026</v>
      </c>
      <c r="D330" t="s">
        <v>10</v>
      </c>
      <c r="E330" s="1">
        <v>46295</v>
      </c>
      <c r="F330">
        <v>120.7</v>
      </c>
      <c r="G330">
        <v>47</v>
      </c>
      <c r="H330" t="b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A2A42-BE8A-8643-B2E4-9CED965D6833}">
  <dimension ref="A1:C8"/>
  <sheetViews>
    <sheetView workbookViewId="0">
      <selection activeCell="E15" sqref="E15"/>
    </sheetView>
  </sheetViews>
  <sheetFormatPr baseColWidth="10" defaultRowHeight="16" x14ac:dyDescent="0.2"/>
  <cols>
    <col min="2" max="2" width="16.5" customWidth="1"/>
    <col min="3" max="3" width="12.5" customWidth="1"/>
  </cols>
  <sheetData>
    <row r="1" spans="1:3" x14ac:dyDescent="0.2">
      <c r="A1" t="s">
        <v>0</v>
      </c>
      <c r="B1" t="s">
        <v>19</v>
      </c>
      <c r="C1" t="s">
        <v>20</v>
      </c>
    </row>
    <row r="2" spans="1:3" x14ac:dyDescent="0.2">
      <c r="A2" t="s">
        <v>6</v>
      </c>
      <c r="B2" s="14">
        <v>13.13</v>
      </c>
      <c r="C2" s="17">
        <v>46269</v>
      </c>
    </row>
    <row r="3" spans="1:3" x14ac:dyDescent="0.2">
      <c r="A3" t="s">
        <v>13</v>
      </c>
      <c r="B3" s="14">
        <v>42.04</v>
      </c>
      <c r="C3" s="17">
        <v>46269</v>
      </c>
    </row>
    <row r="4" spans="1:3" x14ac:dyDescent="0.2">
      <c r="A4" t="s">
        <v>14</v>
      </c>
      <c r="B4" s="14">
        <v>80.17</v>
      </c>
      <c r="C4" s="17">
        <v>46269</v>
      </c>
    </row>
    <row r="5" spans="1:3" x14ac:dyDescent="0.2">
      <c r="A5" t="s">
        <v>15</v>
      </c>
      <c r="B5" s="14">
        <v>4.63</v>
      </c>
      <c r="C5" s="17">
        <v>46269</v>
      </c>
    </row>
    <row r="6" spans="1:3" x14ac:dyDescent="0.2">
      <c r="A6" t="s">
        <v>16</v>
      </c>
      <c r="B6" s="14">
        <v>39.619999999999997</v>
      </c>
      <c r="C6" s="17">
        <v>46269</v>
      </c>
    </row>
    <row r="7" spans="1:3" x14ac:dyDescent="0.2">
      <c r="A7" t="s">
        <v>319</v>
      </c>
      <c r="B7" s="14">
        <v>770.19</v>
      </c>
      <c r="C7" s="17">
        <v>46269</v>
      </c>
    </row>
    <row r="8" spans="1:3" x14ac:dyDescent="0.2">
      <c r="A8" t="s">
        <v>17</v>
      </c>
      <c r="B8" s="14">
        <v>111.38</v>
      </c>
      <c r="C8" s="17">
        <v>46269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C42C0-A853-464A-B2B3-F39FC060CAFB}">
  <dimension ref="A1:C5"/>
  <sheetViews>
    <sheetView workbookViewId="0">
      <selection activeCell="B4" sqref="B4"/>
    </sheetView>
  </sheetViews>
  <sheetFormatPr baseColWidth="10" defaultRowHeight="16" x14ac:dyDescent="0.2"/>
  <cols>
    <col min="1" max="1" width="18.83203125" customWidth="1"/>
    <col min="3" max="3" width="46.5" customWidth="1"/>
  </cols>
  <sheetData>
    <row r="1" spans="1:3" x14ac:dyDescent="0.2">
      <c r="A1" t="s">
        <v>368</v>
      </c>
      <c r="B1" s="15">
        <v>0.05</v>
      </c>
      <c r="C1" t="s">
        <v>406</v>
      </c>
    </row>
    <row r="2" spans="1:3" x14ac:dyDescent="0.2">
      <c r="A2" t="s">
        <v>369</v>
      </c>
      <c r="B2" s="16">
        <v>0.21</v>
      </c>
      <c r="C2" t="s">
        <v>407</v>
      </c>
    </row>
    <row r="3" spans="1:3" x14ac:dyDescent="0.2">
      <c r="A3" t="s">
        <v>370</v>
      </c>
      <c r="B3">
        <f>B1*(1-B2)</f>
        <v>3.9500000000000007E-2</v>
      </c>
      <c r="C3" t="s">
        <v>408</v>
      </c>
    </row>
    <row r="4" spans="1:3" x14ac:dyDescent="0.2">
      <c r="A4" t="s">
        <v>371</v>
      </c>
      <c r="B4">
        <f>_xlfn.XLOOKUP("SPY",current!A:A,current!B:B)</f>
        <v>770.19</v>
      </c>
      <c r="C4" t="s">
        <v>409</v>
      </c>
    </row>
    <row r="5" spans="1:3" ht="17" x14ac:dyDescent="0.25">
      <c r="A5" t="s">
        <v>20</v>
      </c>
      <c r="B5" s="13">
        <f>_xlfn.XLOOKUP("SPY",current!A:A,current!C:C)</f>
        <v>46269</v>
      </c>
      <c r="C5" t="s">
        <v>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buybacks</vt:lpstr>
      <vt:lpstr>summary</vt:lpstr>
      <vt:lpstr>leverage_2019</vt:lpstr>
      <vt:lpstr>prices</vt:lpstr>
      <vt:lpstr>current</vt:lpstr>
      <vt:lpstr>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Nia Hlazyrina</cp:lastModifiedBy>
  <dcterms:created xsi:type="dcterms:W3CDTF">2026-09-08T19:22:07Z</dcterms:created>
  <dcterms:modified xsi:type="dcterms:W3CDTF">2026-09-16T20:44:59Z</dcterms:modified>
</cp:coreProperties>
</file>